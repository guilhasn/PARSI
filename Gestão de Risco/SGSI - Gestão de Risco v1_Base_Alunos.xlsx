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EsteLivro"/>
  <mc:AlternateContent xmlns:mc="http://schemas.openxmlformats.org/markup-compatibility/2006">
    <mc:Choice Requires="x15">
      <x15ac:absPath xmlns:x15ac="http://schemas.microsoft.com/office/spreadsheetml/2010/11/ac" url="https://myipleiria-my.sharepoint.com/personal/nuno_salvador_ipleiria_pt/Documents/2025-2026/MCIF/PARSI/Conteúdos/Gestão do Risco/"/>
    </mc:Choice>
  </mc:AlternateContent>
  <xr:revisionPtr revIDLastSave="764" documentId="8_{C9CA160C-8F66-4FE2-BEC8-209A7A7A8ECD}" xr6:coauthVersionLast="47" xr6:coauthVersionMax="47" xr10:uidLastSave="{9B424312-7C83-44CB-8E7E-D535BD0213A3}"/>
  <bookViews>
    <workbookView xWindow="28680" yWindow="-120" windowWidth="29040" windowHeight="15720" tabRatio="958" activeTab="6" xr2:uid="{00000000-000D-0000-FFFF-FFFF00000000}"/>
  </bookViews>
  <sheets>
    <sheet name="00.Folha de rosto" sheetId="13" r:id="rId1"/>
    <sheet name="01.Categorias de Ativos" sheetId="21" r:id="rId2"/>
    <sheet name="02.Critérios de Valorização" sheetId="17" r:id="rId3"/>
    <sheet name="03.Inventário de Ativos" sheetId="20" r:id="rId4"/>
    <sheet name="04.Lista Riscos,Classificação" sheetId="18" r:id="rId5"/>
    <sheet name="05.Avaliação do Risco" sheetId="12" r:id="rId6"/>
    <sheet name="06.Plano de Mitigação" sheetId="19" r:id="rId7"/>
    <sheet name="Dados" sheetId="4" state="hidden" r:id="rId8"/>
  </sheets>
  <definedNames>
    <definedName name="_xlnm._FilterDatabase" localSheetId="3" hidden="1">'03.Inventário de Ativos'!$B$4:$Q$99</definedName>
    <definedName name="_xlnm._FilterDatabase" localSheetId="5" hidden="1">'05.Avaliação do Risco'!$C$4:$X$97</definedName>
    <definedName name="Ameaças" localSheetId="0">#REF!</definedName>
    <definedName name="Ameaças" localSheetId="1">'01.Categorias de Ativos'!#REF!</definedName>
    <definedName name="Ameaças" localSheetId="2">#REF!</definedName>
    <definedName name="Ameaças" localSheetId="3">#REF!</definedName>
    <definedName name="Ameaças" localSheetId="6">#REF!</definedName>
    <definedName name="Ameaças">#REF!</definedName>
    <definedName name="Aplicação" localSheetId="1">#REF!</definedName>
    <definedName name="Aplicação" localSheetId="3">#REF!</definedName>
    <definedName name="Aplicação" localSheetId="5">#REF!</definedName>
    <definedName name="Aplicação">#REF!</definedName>
    <definedName name="_xlnm.Print_Area" localSheetId="0">'00.Folha de rosto'!$B$2:$G$42</definedName>
    <definedName name="_xlnm.Print_Area" localSheetId="3">'03.Inventário de Ativos'!$B$3:$Q$4</definedName>
    <definedName name="AssetIDs" localSheetId="0">#REF!</definedName>
    <definedName name="AssetIDs" localSheetId="1">#REF!</definedName>
    <definedName name="AssetIDs" localSheetId="2">#REF!</definedName>
    <definedName name="AssetIDs" localSheetId="3">Table13[ID]</definedName>
    <definedName name="AssetIDs" localSheetId="6">#REF!</definedName>
    <definedName name="AssetIDs">#REF!</definedName>
    <definedName name="Availability" localSheetId="0">#REF!</definedName>
    <definedName name="Availability" localSheetId="1">'01.Categorias de Ativos'!#REF!</definedName>
    <definedName name="Availability" localSheetId="2">#REF!</definedName>
    <definedName name="Availability" localSheetId="3">#REF!</definedName>
    <definedName name="Availability" localSheetId="6">#REF!</definedName>
    <definedName name="Availability">#REF!</definedName>
    <definedName name="Backup" localSheetId="0">#REF!</definedName>
    <definedName name="Backup" localSheetId="1">'01.Categorias de Ativos'!#REF!</definedName>
    <definedName name="Backup" localSheetId="3">'03.Inventário de Ativos'!$ID$3:$ID$4</definedName>
    <definedName name="Backup" localSheetId="6">#REF!</definedName>
    <definedName name="Backup">#REF!</definedName>
    <definedName name="Categoria" localSheetId="0">#REF!</definedName>
    <definedName name="Categoria" localSheetId="1">'01.Categorias de Ativos'!$B$3:$B$9</definedName>
    <definedName name="Categoria">#REF!</definedName>
    <definedName name="Classificação" localSheetId="0">#REF!</definedName>
    <definedName name="Classificação" localSheetId="1">#REF!</definedName>
    <definedName name="Classificação" localSheetId="6">#REF!</definedName>
    <definedName name="Classificação">#REF!</definedName>
    <definedName name="Confidencialidade" localSheetId="0">#REF!</definedName>
    <definedName name="Confidencialidade" localSheetId="1">'01.Categorias de Ativos'!#REF!</definedName>
    <definedName name="Confidencialidade" localSheetId="2">#REF!</definedName>
    <definedName name="Confidencialidade" localSheetId="3">#REF!</definedName>
    <definedName name="Confidencialidade" localSheetId="6">#REF!</definedName>
    <definedName name="Confidencialidade">#REF!</definedName>
    <definedName name="Disponibilidade" localSheetId="1">#REF!</definedName>
    <definedName name="Disponibilidade" localSheetId="6">#REF!</definedName>
    <definedName name="Disponibilidade">#REF!</definedName>
    <definedName name="exposicao" localSheetId="1">#REF!</definedName>
    <definedName name="exposicao" localSheetId="6">#REF!</definedName>
    <definedName name="exposicao">#REF!</definedName>
    <definedName name="Financeiro" localSheetId="1">#REF!</definedName>
    <definedName name="Financeiro" localSheetId="6">#REF!</definedName>
    <definedName name="Financeiro">#REF!</definedName>
    <definedName name="Integridade" localSheetId="1">#REF!</definedName>
    <definedName name="Integridade" localSheetId="6">#REF!</definedName>
    <definedName name="Integridade">#REF!</definedName>
    <definedName name="Integrity" localSheetId="0">#REF!</definedName>
    <definedName name="Integrity" localSheetId="1">'01.Categorias de Ativos'!#REF!</definedName>
    <definedName name="Integrity" localSheetId="2">#REF!</definedName>
    <definedName name="Integrity" localSheetId="3">#REF!</definedName>
    <definedName name="Integrity" localSheetId="6">#REF!</definedName>
    <definedName name="Integrity">#REF!</definedName>
    <definedName name="lmh" localSheetId="0">#REF!</definedName>
    <definedName name="lmh" localSheetId="1">'01.Categorias de Ativos'!$IF$2:$II$2</definedName>
    <definedName name="lmh" localSheetId="3">'03.Inventário de Ativos'!#REF!</definedName>
    <definedName name="lmh" localSheetId="6">#REF!</definedName>
    <definedName name="lmh">#REF!</definedName>
    <definedName name="MeiodeRececao" localSheetId="1">#REF!</definedName>
    <definedName name="MeiodeRececao">#REF!</definedName>
    <definedName name="Negocio" localSheetId="1">#REF!</definedName>
    <definedName name="Negocio" localSheetId="6">#REF!</definedName>
    <definedName name="Negocio">#REF!</definedName>
    <definedName name="OS" localSheetId="0">#REF!</definedName>
    <definedName name="OS" localSheetId="1">'01.Categorias de Ativos'!#REF!</definedName>
    <definedName name="OS" localSheetId="3">'03.Inventário de Ativos'!$ID$1:$IG$1</definedName>
    <definedName name="OS" localSheetId="6">#REF!</definedName>
    <definedName name="OS">#REF!</definedName>
    <definedName name="Probabilidade" localSheetId="1">'01.Categorias de Ativos'!#REF!</definedName>
    <definedName name="Probabilidade" localSheetId="2">#REF!</definedName>
    <definedName name="Probabilidade" localSheetId="3">#REF!</definedName>
    <definedName name="Probabilidade" localSheetId="6">#REF!</definedName>
    <definedName name="Probabilidade">#REF!</definedName>
    <definedName name="Situação" localSheetId="1">#REF!</definedName>
    <definedName name="Situação">#REF!</definedName>
    <definedName name="Tipo" localSheetId="1">#REF!</definedName>
    <definedName name="Tipo" localSheetId="3">#REF!</definedName>
    <definedName name="Tipo" localSheetId="5">#REF!</definedName>
    <definedName name="Tipo">#REF!</definedName>
    <definedName name="Trimestre" localSheetId="1">#REF!</definedName>
    <definedName name="Trimestre">#REF!</definedName>
    <definedName name="vulnerabilidade" localSheetId="1">#REF!</definedName>
    <definedName name="vulnerabilidade" localSheetId="6">#REF!</definedName>
    <definedName name="vulnerabilidad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2" l="1"/>
  <c r="P11" i="12" s="1"/>
  <c r="O12" i="12"/>
  <c r="B8" i="12"/>
  <c r="B9" i="12"/>
  <c r="E9" i="12"/>
  <c r="Q6" i="20"/>
  <c r="Q5" i="20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U6" i="12"/>
  <c r="U7" i="12"/>
  <c r="U8" i="12"/>
  <c r="U9" i="12"/>
  <c r="U10" i="12"/>
  <c r="U11" i="12"/>
  <c r="U12" i="12"/>
  <c r="U13" i="12"/>
  <c r="U14" i="12"/>
  <c r="U15" i="12"/>
  <c r="U16" i="12"/>
  <c r="U17" i="12"/>
  <c r="U18" i="12"/>
  <c r="U19" i="12"/>
  <c r="U20" i="12"/>
  <c r="U21" i="12"/>
  <c r="U22" i="12"/>
  <c r="U23" i="12"/>
  <c r="U24" i="12"/>
  <c r="U25" i="12"/>
  <c r="U26" i="12"/>
  <c r="U27" i="12"/>
  <c r="U28" i="12"/>
  <c r="U29" i="12"/>
  <c r="U30" i="12"/>
  <c r="U31" i="12"/>
  <c r="U32" i="12"/>
  <c r="U33" i="12"/>
  <c r="U34" i="12"/>
  <c r="U35" i="12"/>
  <c r="U36" i="12"/>
  <c r="U37" i="12"/>
  <c r="U38" i="12"/>
  <c r="U39" i="12"/>
  <c r="U40" i="12"/>
  <c r="U41" i="12"/>
  <c r="U42" i="12"/>
  <c r="U43" i="12"/>
  <c r="U44" i="12"/>
  <c r="U45" i="12"/>
  <c r="U46" i="12"/>
  <c r="U47" i="12"/>
  <c r="U48" i="12"/>
  <c r="U49" i="12"/>
  <c r="U50" i="12"/>
  <c r="U51" i="12"/>
  <c r="U52" i="12"/>
  <c r="U53" i="12"/>
  <c r="U54" i="12"/>
  <c r="U55" i="12"/>
  <c r="U56" i="12"/>
  <c r="U57" i="12"/>
  <c r="U58" i="12"/>
  <c r="U59" i="12"/>
  <c r="U60" i="12"/>
  <c r="U61" i="12"/>
  <c r="U62" i="12"/>
  <c r="U63" i="12"/>
  <c r="U64" i="12"/>
  <c r="U65" i="12"/>
  <c r="U66" i="12"/>
  <c r="U67" i="12"/>
  <c r="U68" i="12"/>
  <c r="U69" i="12"/>
  <c r="U70" i="12"/>
  <c r="U71" i="12"/>
  <c r="U72" i="12"/>
  <c r="U73" i="12"/>
  <c r="U74" i="12"/>
  <c r="U75" i="12"/>
  <c r="U76" i="12"/>
  <c r="U77" i="12"/>
  <c r="U78" i="12"/>
  <c r="U79" i="12"/>
  <c r="U80" i="12"/>
  <c r="U81" i="12"/>
  <c r="U82" i="12"/>
  <c r="U83" i="12"/>
  <c r="U84" i="12"/>
  <c r="U85" i="12"/>
  <c r="U86" i="12"/>
  <c r="U87" i="12"/>
  <c r="U88" i="12"/>
  <c r="U89" i="12"/>
  <c r="U90" i="12"/>
  <c r="U91" i="12"/>
  <c r="U92" i="12"/>
  <c r="U93" i="12"/>
  <c r="U94" i="12"/>
  <c r="U95" i="12"/>
  <c r="U96" i="12"/>
  <c r="U97" i="12"/>
  <c r="U5" i="12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86" i="12"/>
  <c r="R87" i="12"/>
  <c r="R88" i="12"/>
  <c r="R89" i="12"/>
  <c r="R90" i="12"/>
  <c r="R91" i="12"/>
  <c r="R92" i="12"/>
  <c r="R93" i="12"/>
  <c r="R94" i="12"/>
  <c r="R95" i="12"/>
  <c r="R96" i="12"/>
  <c r="R97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N11" i="12"/>
  <c r="V11" i="12" s="1"/>
  <c r="W11" i="12" s="1"/>
  <c r="N13" i="12"/>
  <c r="N14" i="12"/>
  <c r="N15" i="12"/>
  <c r="N16" i="12"/>
  <c r="N17" i="12"/>
  <c r="N18" i="12"/>
  <c r="N19" i="12"/>
  <c r="N20" i="12"/>
  <c r="N21" i="12"/>
  <c r="N22" i="12"/>
  <c r="N23" i="12"/>
  <c r="N24" i="12"/>
  <c r="N25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49" i="12"/>
  <c r="N50" i="12"/>
  <c r="N51" i="12"/>
  <c r="N52" i="12"/>
  <c r="N53" i="12"/>
  <c r="N54" i="12"/>
  <c r="N55" i="12"/>
  <c r="N56" i="12"/>
  <c r="N57" i="12"/>
  <c r="N58" i="12"/>
  <c r="N59" i="12"/>
  <c r="N60" i="12"/>
  <c r="N61" i="12"/>
  <c r="N62" i="12"/>
  <c r="N63" i="12"/>
  <c r="N64" i="12"/>
  <c r="N65" i="12"/>
  <c r="N66" i="12"/>
  <c r="N67" i="12"/>
  <c r="N68" i="12"/>
  <c r="N69" i="12"/>
  <c r="N70" i="12"/>
  <c r="N71" i="12"/>
  <c r="N72" i="12"/>
  <c r="N73" i="12"/>
  <c r="N74" i="12"/>
  <c r="N75" i="12"/>
  <c r="N76" i="12"/>
  <c r="N77" i="12"/>
  <c r="N78" i="12"/>
  <c r="N79" i="12"/>
  <c r="N80" i="12"/>
  <c r="N81" i="12"/>
  <c r="N82" i="12"/>
  <c r="N83" i="12"/>
  <c r="N84" i="12"/>
  <c r="N85" i="12"/>
  <c r="N86" i="12"/>
  <c r="N87" i="12"/>
  <c r="N88" i="12"/>
  <c r="N89" i="12"/>
  <c r="N90" i="12"/>
  <c r="N91" i="12"/>
  <c r="N92" i="12"/>
  <c r="N93" i="12"/>
  <c r="N94" i="12"/>
  <c r="N95" i="12"/>
  <c r="N96" i="12"/>
  <c r="N97" i="12"/>
  <c r="M6" i="12"/>
  <c r="M7" i="12"/>
  <c r="N7" i="12" s="1"/>
  <c r="V7" i="12" s="1"/>
  <c r="W7" i="12" s="1"/>
  <c r="M8" i="12"/>
  <c r="N8" i="12" s="1"/>
  <c r="V8" i="12" s="1"/>
  <c r="W8" i="12" s="1"/>
  <c r="M9" i="12"/>
  <c r="M10" i="12"/>
  <c r="M11" i="12"/>
  <c r="M12" i="12"/>
  <c r="N12" i="12" s="1"/>
  <c r="V12" i="12" s="1"/>
  <c r="W12" i="12" s="1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M5" i="12"/>
  <c r="K5" i="12"/>
  <c r="N5" i="12" s="1"/>
  <c r="E6" i="12"/>
  <c r="E7" i="12"/>
  <c r="E8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E5" i="12"/>
  <c r="B6" i="12"/>
  <c r="B7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C5" i="12"/>
  <c r="B5" i="12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N6" i="12" l="1"/>
  <c r="V6" i="12" s="1"/>
  <c r="W6" i="12" s="1"/>
  <c r="N10" i="12"/>
  <c r="N9" i="12"/>
  <c r="V9" i="12"/>
  <c r="W9" i="12" s="1"/>
  <c r="O9" i="12"/>
  <c r="O8" i="12"/>
  <c r="O7" i="12"/>
  <c r="R11" i="12"/>
  <c r="V5" i="12"/>
  <c r="W5" i="12" s="1"/>
  <c r="O5" i="12"/>
  <c r="V10" i="12" l="1"/>
  <c r="W10" i="12" s="1"/>
  <c r="O10" i="12"/>
  <c r="O6" i="12"/>
  <c r="P5" i="12"/>
  <c r="R5" i="12"/>
  <c r="R9" i="12"/>
  <c r="P9" i="12"/>
  <c r="R6" i="12"/>
  <c r="P6" i="12"/>
  <c r="R7" i="12"/>
  <c r="P7" i="12"/>
  <c r="R8" i="12"/>
  <c r="P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R10" i="12" l="1"/>
  <c r="P10" i="12"/>
  <c r="O95" i="12"/>
  <c r="O79" i="12"/>
  <c r="O83" i="12"/>
  <c r="O91" i="12"/>
  <c r="O75" i="12"/>
  <c r="O87" i="12"/>
  <c r="O71" i="12"/>
  <c r="O86" i="12"/>
  <c r="O82" i="12"/>
  <c r="O78" i="12"/>
  <c r="O93" i="12"/>
  <c r="O90" i="12"/>
  <c r="O69" i="12"/>
  <c r="O84" i="12"/>
  <c r="O77" i="12"/>
  <c r="O70" i="12"/>
  <c r="O96" i="12"/>
  <c r="O97" i="12"/>
  <c r="O80" i="12"/>
  <c r="O85" i="12"/>
  <c r="O92" i="12"/>
  <c r="O76" i="12"/>
  <c r="O94" i="12"/>
  <c r="O74" i="12"/>
  <c r="O89" i="12"/>
  <c r="O73" i="12"/>
  <c r="O88" i="12"/>
  <c r="O72" i="12"/>
  <c r="O81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Rute Pinto</author>
  </authors>
  <commentList>
    <comment ref="B4" authorId="0" shapeId="0" xr:uid="{03123EE5-75A6-4768-88F4-67C6C1324C82}">
      <text>
        <r>
          <rPr>
            <b/>
            <sz val="9"/>
            <color indexed="81"/>
            <rFont val="Tahoma"/>
            <family val="2"/>
          </rPr>
          <t>Rute Pinto:</t>
        </r>
        <r>
          <rPr>
            <sz val="9"/>
            <color indexed="81"/>
            <rFont val="Tahoma"/>
            <family val="2"/>
          </rPr>
          <t xml:space="preserve">
Referência de identificação única do ativo interna (Se não existente sugere-se um prefixo por área para reduzir erros de repetição)</t>
        </r>
      </text>
    </comment>
    <comment ref="G4" authorId="0" shapeId="0" xr:uid="{84D272E0-C419-40F3-97A5-48A290B9F1D9}">
      <text>
        <r>
          <rPr>
            <b/>
            <sz val="9"/>
            <color indexed="81"/>
            <rFont val="Tahoma"/>
            <family val="2"/>
          </rPr>
          <t>Rute Pinto:</t>
        </r>
        <r>
          <rPr>
            <sz val="9"/>
            <color indexed="81"/>
            <rFont val="Tahoma"/>
            <family val="2"/>
          </rPr>
          <t xml:space="preserve">
Localização física do ativo</t>
        </r>
      </text>
    </comment>
    <comment ref="I4" authorId="0" shapeId="0" xr:uid="{6BE45F78-5690-4AB9-8992-EA544ED020AA}">
      <text>
        <r>
          <rPr>
            <b/>
            <sz val="9"/>
            <color indexed="81"/>
            <rFont val="Tahoma"/>
            <family val="2"/>
          </rPr>
          <t>Rute Pinto:</t>
        </r>
        <r>
          <rPr>
            <sz val="9"/>
            <color indexed="81"/>
            <rFont val="Tahoma"/>
            <family val="2"/>
          </rPr>
          <t xml:space="preserve">
Identificação nominal do responsável pelo ativo 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Rute Pinto</author>
  </authors>
  <commentList>
    <comment ref="B3" authorId="0" shapeId="0" xr:uid="{9024EF04-78A0-4806-8C15-F59066A2EB72}">
      <text>
        <r>
          <rPr>
            <b/>
            <sz val="9"/>
            <color indexed="81"/>
            <rFont val="Tahoma"/>
            <family val="2"/>
          </rPr>
          <t>Rute Pinto:</t>
        </r>
        <r>
          <rPr>
            <sz val="9"/>
            <color indexed="81"/>
            <rFont val="Tahoma"/>
            <family val="2"/>
          </rPr>
          <t xml:space="preserve">
Anexo da IS
ISO/IEC27005:2022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Bessa</author>
  </authors>
  <commentList>
    <comment ref="F4" authorId="0" shapeId="0" xr:uid="{6A202FC7-A41F-4264-B89A-B00AF34B5A0E}">
      <text>
        <r>
          <rPr>
            <b/>
            <sz val="9"/>
            <color indexed="81"/>
            <rFont val="Tahoma"/>
            <family val="2"/>
          </rPr>
          <t>Rui Bessa:</t>
        </r>
        <r>
          <rPr>
            <sz val="9"/>
            <color indexed="81"/>
            <rFont val="Tahoma"/>
            <family val="2"/>
          </rPr>
          <t xml:space="preserve">
Escolher os riscos de cada grupo de ameaças mais provável de acontecer / pelo histórico de ocorrências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Rute Pinto</author>
  </authors>
  <commentList>
    <comment ref="B3" authorId="0" shapeId="0" xr:uid="{AFE8A07B-A629-4E69-A011-B94D575ED875}">
      <text>
        <r>
          <rPr>
            <b/>
            <sz val="9"/>
            <color indexed="81"/>
            <rFont val="Tahoma"/>
            <family val="2"/>
          </rPr>
          <t>Rute Pinto:</t>
        </r>
        <r>
          <rPr>
            <sz val="9"/>
            <color indexed="81"/>
            <rFont val="Tahoma"/>
            <family val="2"/>
          </rPr>
          <t xml:space="preserve">
Identificar o ativo afetado pelo risco
</t>
        </r>
      </text>
    </comment>
    <comment ref="E3" authorId="0" shapeId="0" xr:uid="{4392C98C-A7FE-41FE-B59E-73C25EAE4070}">
      <text>
        <r>
          <rPr>
            <b/>
            <sz val="9"/>
            <color indexed="81"/>
            <rFont val="Tahoma"/>
            <family val="2"/>
          </rPr>
          <t>Rute Pinto:</t>
        </r>
        <r>
          <rPr>
            <sz val="9"/>
            <color indexed="81"/>
            <rFont val="Tahoma"/>
            <family val="2"/>
          </rPr>
          <t xml:space="preserve">
Identificar controlos de segurança que orientam na identificação das ações (ex. ISO27002, NIST, QNRCS, entre outras), de acordo com as melhores práticas</t>
        </r>
      </text>
    </comment>
    <comment ref="F3" authorId="0" shapeId="0" xr:uid="{0B6961A7-3CC5-4D0C-9E98-66863F5D6B16}">
      <text>
        <r>
          <rPr>
            <b/>
            <sz val="9"/>
            <color indexed="81"/>
            <rFont val="Tahoma"/>
            <family val="2"/>
          </rPr>
          <t>Rute Pinto:</t>
        </r>
        <r>
          <rPr>
            <sz val="9"/>
            <color indexed="81"/>
            <rFont val="Tahoma"/>
            <family val="2"/>
          </rPr>
          <t xml:space="preserve">
Identificar, se aplicável, a causa raiz do que origina o risco.
</t>
        </r>
      </text>
    </comment>
    <comment ref="G3" authorId="0" shapeId="0" xr:uid="{9FA01FF6-14AD-4DDA-8C0F-A56AB7C6CFE1}">
      <text>
        <r>
          <rPr>
            <b/>
            <sz val="9"/>
            <color indexed="81"/>
            <rFont val="Tahoma"/>
            <family val="2"/>
          </rPr>
          <t>Rute Pinto:</t>
        </r>
        <r>
          <rPr>
            <sz val="9"/>
            <color indexed="81"/>
            <rFont val="Tahoma"/>
            <family val="2"/>
          </rPr>
          <t xml:space="preserve">
Identificar uma ou várias ações para o plano de mitigação do risco</t>
        </r>
      </text>
    </comment>
    <comment ref="H3" authorId="0" shapeId="0" xr:uid="{65533E5A-90DB-4FAE-BD86-3B90D971569A}">
      <text>
        <r>
          <rPr>
            <b/>
            <sz val="9"/>
            <color indexed="81"/>
            <rFont val="Tahoma"/>
            <family val="2"/>
          </rPr>
          <t>Rute Pinto:</t>
        </r>
        <r>
          <rPr>
            <sz val="9"/>
            <color indexed="81"/>
            <rFont val="Tahoma"/>
            <family val="2"/>
          </rPr>
          <t xml:space="preserve">
Identificar o responsável ou os responsáveis pelas ações a mitigar</t>
        </r>
      </text>
    </comment>
    <comment ref="I3" authorId="0" shapeId="0" xr:uid="{1A6822CF-E3AB-410B-A29E-4E069F3F441A}">
      <text>
        <r>
          <rPr>
            <b/>
            <sz val="9"/>
            <color indexed="81"/>
            <rFont val="Tahoma"/>
            <family val="2"/>
          </rPr>
          <t>Rute Pinto:</t>
        </r>
        <r>
          <rPr>
            <sz val="9"/>
            <color indexed="81"/>
            <rFont val="Tahoma"/>
            <family val="2"/>
          </rPr>
          <t xml:space="preserve">
Identificar o estado das ações (não iniciado;iniciado;a decorrer; em finalização;fechado)</t>
        </r>
      </text>
    </comment>
  </commentList>
</comments>
</file>

<file path=xl/sharedStrings.xml><?xml version="1.0" encoding="utf-8"?>
<sst xmlns="http://schemas.openxmlformats.org/spreadsheetml/2006/main" count="1284" uniqueCount="687">
  <si>
    <t>ID Documento:</t>
  </si>
  <si>
    <t>Gestão de Risco</t>
  </si>
  <si>
    <t>Data:</t>
  </si>
  <si>
    <t>Criado por:</t>
  </si>
  <si>
    <t>Nível de classificação:</t>
  </si>
  <si>
    <t>Confidencial</t>
  </si>
  <si>
    <t>Periocidade de revisão:</t>
  </si>
  <si>
    <t xml:space="preserve">Aprovado por: </t>
  </si>
  <si>
    <t>Controlo e Aprovação</t>
  </si>
  <si>
    <t>Revisão</t>
  </si>
  <si>
    <t>Data</t>
  </si>
  <si>
    <t>Versão</t>
  </si>
  <si>
    <t>Descrição da Revisão</t>
  </si>
  <si>
    <t xml:space="preserve">Owner </t>
  </si>
  <si>
    <t>Atualização dos critérios de valorização</t>
  </si>
  <si>
    <t>Inventariação de ativos</t>
  </si>
  <si>
    <t xml:space="preserve">Identificação de riscos/ameaças </t>
  </si>
  <si>
    <t>Associação de riscos às categorias</t>
  </si>
  <si>
    <t>Avaliação de risco</t>
  </si>
  <si>
    <t>Plano de mitigação</t>
  </si>
  <si>
    <t>Monitorização de risco</t>
  </si>
  <si>
    <t>Documentos relacionados</t>
  </si>
  <si>
    <t>ID Documento</t>
  </si>
  <si>
    <t xml:space="preserve">Descrição </t>
  </si>
  <si>
    <t>Metodologia de Gestão de Risco</t>
  </si>
  <si>
    <t>ISO/IEC 27005 - Gestão dos Riscos de Segurança dos Sistemas de Informação</t>
  </si>
  <si>
    <t>Conteúdos</t>
  </si>
  <si>
    <t>Categorias de Ativo</t>
  </si>
  <si>
    <t>Descrição da categoria de cada ativo.</t>
  </si>
  <si>
    <t>Critérios de Valorização</t>
  </si>
  <si>
    <t>Descrição dos critérios de valorização de cada ativo.</t>
  </si>
  <si>
    <t>Inventário de Ativos</t>
  </si>
  <si>
    <t>Matriz do inventário de ativos e valorização do ativo.</t>
  </si>
  <si>
    <t>Lista de Riscos, Classificação</t>
  </si>
  <si>
    <t>Lista de riscos selecionados para avaliação dos critérios (Probabilidade e Impacto).</t>
  </si>
  <si>
    <t>Avaliação de Risco</t>
  </si>
  <si>
    <t>Matriz em que é efetuada a avaliação de risco liquido e risco residual (Células com preenchimento a cinza são automaticamente preenchidas - não eliminar, nem alterar o conteúdo).</t>
  </si>
  <si>
    <t>Plano de Mitigação</t>
  </si>
  <si>
    <t>Matriz em que é identificado o plano de mitigação de riscos que tem que ser mitigados.</t>
  </si>
  <si>
    <t>Categorias</t>
  </si>
  <si>
    <t>Descrição</t>
  </si>
  <si>
    <t>ID DOS ATIVOS</t>
  </si>
  <si>
    <t>Processos (PC)</t>
  </si>
  <si>
    <t xml:space="preserve">Identificação dos processos de negócio, procedimentos e atividades abrangidos pelo âmbito do SGSI, nomeadamente:
- Processos cuja perda pode tornar impossível a manutenção do negócio;
- Processos que envolvam tecnologia proprietária ou segredos de negócio;
- Processos que, se alterados, possam comprometer a continuidade do negócio;
- Processos necessários ao cumprimento de requisitos legais e contratuais.
</t>
  </si>
  <si>
    <t xml:space="preserve">A cada ativo é atribuído um código de identificador (ID) com a seguinte estrutura.
XX0000
XX - sigla do grupo tipo ou subtipo do ativo, se este existir;
0000 - número sequencial dento da sigla.
</t>
  </si>
  <si>
    <t>Informação (IN)</t>
  </si>
  <si>
    <t xml:space="preserve">Identificação da Informação relevante, no âmbito do SGSI, nomeadamente:
- Informação vital para a continuidade das atividades de negócio;
- Informação pessoal que se encontre abrangida pela lei da privacidade de dados;
- Informação estratégica da organização;
- Informação cuja aquisição seja dispendiosa e que o seu processamento e arquivo requeiram tempo ou envolvam custos elevados.
</t>
  </si>
  <si>
    <t>Hardware (HW)</t>
  </si>
  <si>
    <t xml:space="preserve">Identificação dos equipamentos que suportam os processos.
</t>
  </si>
  <si>
    <t>Software (SW)</t>
  </si>
  <si>
    <t xml:space="preserve">Identificação dos programas que suportam o processamento de dados relativos à atividade do negócio.
</t>
  </si>
  <si>
    <t>Ativos de Rede (AR)</t>
  </si>
  <si>
    <t xml:space="preserve">Identificação dos equipamentos de telecomunicações utilizados para a interligação de elementos remotos de um sistema de informação.
</t>
  </si>
  <si>
    <t>Recursos Humanos (RH)</t>
  </si>
  <si>
    <t xml:space="preserve">Identificação dos grupos de colaboradores envolvidos nos processos âmbito do SGSI.
- Áreas / Departamentos;
</t>
  </si>
  <si>
    <t>Instalações (IT)</t>
  </si>
  <si>
    <t xml:space="preserve">Identificação das instalações físicas que contêm os serviços âmbito do SGSI, bem como os serviços de suporte à sua operação - DC (climatização (temperatura e humidade), inundação, rede eletrica, gerador, UPS, combate a incendio, controlos de acesso, CCTV (30dias), monotorização alarmistica, alarme de intrusão, cablagem (etiquetagem)).
</t>
  </si>
  <si>
    <t>Organização (OR)</t>
  </si>
  <si>
    <t xml:space="preserve">Identificação de todas as estruturas organizacionais que interagem com os processos de negócio, nomeadamente:
- Autoridades;
- Fornecedores, Outsourcers, fabricantes (entre outros).
</t>
  </si>
  <si>
    <t>Valorização Ativos</t>
  </si>
  <si>
    <t>Critérios</t>
  </si>
  <si>
    <t>Escala</t>
  </si>
  <si>
    <t>Valor</t>
  </si>
  <si>
    <t>Segurança</t>
  </si>
  <si>
    <t>Confidencialidade</t>
  </si>
  <si>
    <t>Informação de alto nível de sensibilidade e criticidade, cuja divulgação indevida representa um impacto grave nos objetivos a longo prazo ou pode representar um risco à sobrevivência da organização. Esta informação requere um tratamento especial, e sua divulgação não autorizada ou acesso indevido pode gerar prejuízos financeiros, legais, normativos, contratuais ou na reputação, imagem ou estratégias da organização.
Exemplos de informações deste nível são: os dados pessoais e dados pessoais sensíveis de clientes e colaboradores, informações privadas de fornecedores e informações estratégicas da organização.</t>
  </si>
  <si>
    <t>Restrito</t>
  </si>
  <si>
    <t>Informação restrita que, quando divulgada indevidamente, pode representar um impacto significante a curto prazo nas operações ou nos objetivos táticos da organização. Esta informação pode ser divulgada somente a determinados grupos, áreas ou funções.
Exemplos de informações deste nível são: informações de projetos, procedimentos específicos das áreas, relatórios de desempenho de processos, indicadores das áreas, avaliação de risco, procedimentos de segurança da informação, entre outros.</t>
  </si>
  <si>
    <t xml:space="preserve">Uso interno </t>
  </si>
  <si>
    <t>Informação interna cuja divulgação pode causar pequeno constrangimento ou pequena inconveniência operacional. Pode ser divulgada a todos os funcionários, colaboradores e demais partes interessadas pertinentes, desde que estes estejam comprometidos com a confidencialidade da informação.
Exemplos deste nível são: as normas corporativas, informações na Intranet e campanhas internas da organização.</t>
  </si>
  <si>
    <t>Público</t>
  </si>
  <si>
    <t>Informação que pode ou deve ser divulgada publicamente sem que cause algum impacto à organização, incluindo funcionários, clientes, fornecedores, comunicação social e público em geral. Normalmente a divulgação deste tipo de informação é de responsabilidade de áreas específicas que fazem a comunicação o publico externo à organização, como, por exemplo, as áreas de comunicação e marketing, porém, a responsabilidade pela classificação continua sendo do proprietário da informação.
Exemplos deste nível são: informações divulgadas para o exterior, mercado, sociedade entre outras.</t>
  </si>
  <si>
    <t>Integridade</t>
  </si>
  <si>
    <t>Crítico</t>
  </si>
  <si>
    <t>Impossibilidade de reaver o ativo com uma qualidade semelhante.</t>
  </si>
  <si>
    <t>Elevado</t>
  </si>
  <si>
    <t>O processo de recuperação do ativo com a qualidade necessária é difícil e dispendioso.</t>
  </si>
  <si>
    <t>Normal</t>
  </si>
  <si>
    <t>Possibilidade de substituir o ativo por um de qualidade semelhante com um esforço aceitável.</t>
  </si>
  <si>
    <t>Baixo</t>
  </si>
  <si>
    <t>A substituição do ativo por um de qualidade equiparável é fácil.</t>
  </si>
  <si>
    <t>Disponibilidade</t>
  </si>
  <si>
    <t>Até 12 horas</t>
  </si>
  <si>
    <t>O tempo de carência máximo do ativo é de 12h, pelo que a partir deste tempo o processo de negócio é posto em causa e podem surgir consequências graves para a Organização.</t>
  </si>
  <si>
    <t>Até 48 horas</t>
  </si>
  <si>
    <t>O tempo de carência máximo do ativo é de 48 horas, pelo que a partir deste tempo o processo de negócio é posto em causa e podem surgir consequências graves para a Organização. Pode pressupor a ajuda telefónica de especialistas externos e/ou a reposição pela capacidade de resposta interna.</t>
  </si>
  <si>
    <t>Até 1 semana</t>
  </si>
  <si>
    <t>O tempo de carência máximo do ativo é de 1 semana, pelo que a partir deste tempo o processo de negócio é posto em causa e podem surgir consequências graves para a Organização. Pode ser coincidente com o prazo médio de recuperação que pressupõe a ajuda presencial de especialistas externos, a capacidade de resposta interna e outros mecanismos alternativos.</t>
  </si>
  <si>
    <t>&gt; 1 semana</t>
  </si>
  <si>
    <t>O tempo de carência máximo do ativo é superior a 1 semana. Pode ser coincidente com o prazo máximo de recuperação do ativo, pelo que se pode equacionar a sua substituição, pressupondo o parecer de especialistas (externos e internos), capacidade de resposta interna e outros mecanismos aplicáveis.</t>
  </si>
  <si>
    <t>Impacto Financeiro</t>
  </si>
  <si>
    <t>A indisponibilidade do ativo põe em causa a manutenção do serviço prestado e/ou gera impacto orçamental, com revisão do Executivo</t>
  </si>
  <si>
    <t>A indisponibilidade do ativo gera impacto orçamental, com revisão do Executivo</t>
  </si>
  <si>
    <t>A indisponibilidade do ativo afeta consideravelmente o manutenção da prestação do serviço</t>
  </si>
  <si>
    <t>A indisponibilidade do ativo gera impacto baixo na prestação do serviço</t>
  </si>
  <si>
    <t>Relevância para o Negócio</t>
  </si>
  <si>
    <t>Avaliação do Nível de Segurança</t>
  </si>
  <si>
    <t>Avaliação de Nível de Impacto</t>
  </si>
  <si>
    <t>ID</t>
  </si>
  <si>
    <t>Descrição do ativo</t>
  </si>
  <si>
    <t>Grupo do Ativo</t>
  </si>
  <si>
    <t>Categoria</t>
  </si>
  <si>
    <t>Função</t>
  </si>
  <si>
    <t>Localização</t>
  </si>
  <si>
    <t>Sistema</t>
  </si>
  <si>
    <t>Responsável do ativo</t>
  </si>
  <si>
    <t>Responsável do grupo</t>
  </si>
  <si>
    <t>Notas</t>
  </si>
  <si>
    <t>Valor do Ativo [0-5]</t>
  </si>
  <si>
    <t>Virtual</t>
  </si>
  <si>
    <t>DIMSI</t>
  </si>
  <si>
    <t>Município de Pombal</t>
  </si>
  <si>
    <t>Lista de Riscos</t>
  </si>
  <si>
    <t>Categorias de Ativos</t>
  </si>
  <si>
    <t>ID. Risco</t>
  </si>
  <si>
    <t>Type of risk source 
(D = deliberate; A = accidental; E = environmental)</t>
  </si>
  <si>
    <t>Ameaças Físicas</t>
  </si>
  <si>
    <t>Fogo</t>
  </si>
  <si>
    <t xml:space="preserve">TP01 </t>
  </si>
  <si>
    <t>A, D, E</t>
  </si>
  <si>
    <t>X</t>
  </si>
  <si>
    <t>PO - Probabilidade de Ocorrência</t>
  </si>
  <si>
    <t>Nível de Risco</t>
  </si>
  <si>
    <t>PROBABILIDADE DE OCORRÊNCIA</t>
  </si>
  <si>
    <t>Frequente
(5)</t>
  </si>
  <si>
    <t>Reduzido</t>
  </si>
  <si>
    <t>Desprezível</t>
  </si>
  <si>
    <t>Não requer qualquer ação</t>
  </si>
  <si>
    <t>4º</t>
  </si>
  <si>
    <t>Água</t>
  </si>
  <si>
    <t xml:space="preserve">TP02 </t>
  </si>
  <si>
    <t>Moderado</t>
  </si>
  <si>
    <t>Provável
(4)</t>
  </si>
  <si>
    <t>3º</t>
  </si>
  <si>
    <t>Poluição, radiação nociva</t>
  </si>
  <si>
    <t xml:space="preserve">TP03 </t>
  </si>
  <si>
    <t>Frequente</t>
  </si>
  <si>
    <t>Ocorrências diárias ou semanais</t>
  </si>
  <si>
    <t>Não requer, por norma, qualquer ação para além de uma monitorização periódica.
Os controlos existentes são suficientes.</t>
  </si>
  <si>
    <t>Requer monitorização periódica para garantir que não existe um aumento da exposição.</t>
  </si>
  <si>
    <t xml:space="preserve">Requer uma ação para gerir o risco, considerando que os limites desejáveis de exposição foram excedidos.
</t>
  </si>
  <si>
    <t>Requer uma ação imediata para gerir o risco, considerando que os limites aceitáveis de exposição (tolerâncias) foram excedidos.
Os controlos existentes poderão não ser efetivos ou suficientes.</t>
  </si>
  <si>
    <t>Ocasional
(3)</t>
  </si>
  <si>
    <t>Tolerável</t>
  </si>
  <si>
    <t>Monitorização periódica</t>
  </si>
  <si>
    <t>2º</t>
  </si>
  <si>
    <t>Acidente grave</t>
  </si>
  <si>
    <t xml:space="preserve">TP04 </t>
  </si>
  <si>
    <t>Provável</t>
  </si>
  <si>
    <t>Aconteceu algumas vezes no último mês</t>
  </si>
  <si>
    <t>Eventual
(2)</t>
  </si>
  <si>
    <t>1º</t>
  </si>
  <si>
    <t>Explosão</t>
  </si>
  <si>
    <t xml:space="preserve">TP05 </t>
  </si>
  <si>
    <t>Ocasional</t>
  </si>
  <si>
    <t>Aconteceu algumas vezes no último ano</t>
  </si>
  <si>
    <t>Remoto
(1)</t>
  </si>
  <si>
    <t>Indesejável</t>
  </si>
  <si>
    <t>Ação Imediata</t>
  </si>
  <si>
    <t>Poeira, corrosão, congelamento</t>
  </si>
  <si>
    <t xml:space="preserve">TP06 </t>
  </si>
  <si>
    <t>Eventual</t>
  </si>
  <si>
    <t xml:space="preserve">Aconteceu poucas vezes nos últimos 5 anos </t>
  </si>
  <si>
    <r>
      <rPr>
        <b/>
        <sz val="10"/>
        <color theme="1"/>
        <rFont val="Segoe UI"/>
        <family val="2"/>
      </rPr>
      <t>Monitorização</t>
    </r>
    <r>
      <rPr>
        <sz val="10"/>
        <color theme="1"/>
        <rFont val="Segoe UI"/>
        <family val="2"/>
      </rPr>
      <t xml:space="preserve">
Anual</t>
    </r>
  </si>
  <si>
    <r>
      <rPr>
        <b/>
        <sz val="10"/>
        <color theme="1"/>
        <rFont val="Segoe UI"/>
        <family val="2"/>
      </rPr>
      <t>Monitorização</t>
    </r>
    <r>
      <rPr>
        <sz val="10"/>
        <color theme="1"/>
        <rFont val="Segoe UI"/>
        <family val="2"/>
      </rPr>
      <t xml:space="preserve">
Semestral</t>
    </r>
  </si>
  <si>
    <r>
      <rPr>
        <b/>
        <sz val="10"/>
        <color theme="1"/>
        <rFont val="Segoe UI"/>
        <family val="2"/>
      </rPr>
      <t>Monitorização</t>
    </r>
    <r>
      <rPr>
        <sz val="10"/>
        <color theme="1"/>
        <rFont val="Segoe UI"/>
        <family val="2"/>
      </rPr>
      <t xml:space="preserve">
Trimestral</t>
    </r>
  </si>
  <si>
    <r>
      <rPr>
        <b/>
        <sz val="10"/>
        <color theme="1"/>
        <rFont val="Segoe UI"/>
        <family val="2"/>
      </rPr>
      <t>Monitorização</t>
    </r>
    <r>
      <rPr>
        <sz val="10"/>
        <color theme="1"/>
        <rFont val="Segoe UI"/>
        <family val="2"/>
      </rPr>
      <t xml:space="preserve">
Mensal</t>
    </r>
  </si>
  <si>
    <t>Residual
(1)</t>
  </si>
  <si>
    <t>Baixo
(2)</t>
  </si>
  <si>
    <t>Médio
(3)</t>
  </si>
  <si>
    <t>Elevado
(4)</t>
  </si>
  <si>
    <t>Crítico
(5)</t>
  </si>
  <si>
    <t>Ameaças Naturais</t>
  </si>
  <si>
    <t>Fenômeno Climático</t>
  </si>
  <si>
    <t xml:space="preserve">TN01 </t>
  </si>
  <si>
    <t>E</t>
  </si>
  <si>
    <t>Remoto</t>
  </si>
  <si>
    <t>Nunca aconteceu nos últimos 5 anos</t>
  </si>
  <si>
    <r>
      <rPr>
        <b/>
        <sz val="10"/>
        <color theme="1"/>
        <rFont val="Segoe UI"/>
        <family val="2"/>
      </rPr>
      <t>Tratamento recomendado</t>
    </r>
    <r>
      <rPr>
        <sz val="10"/>
        <color theme="1"/>
        <rFont val="Segoe UI"/>
        <family val="2"/>
      </rPr>
      <t xml:space="preserve">
Aceitar</t>
    </r>
  </si>
  <si>
    <r>
      <rPr>
        <b/>
        <sz val="10"/>
        <color theme="1"/>
        <rFont val="Segoe UI"/>
        <family val="2"/>
      </rPr>
      <t>Tratamento recomendado</t>
    </r>
    <r>
      <rPr>
        <sz val="10"/>
        <color theme="1"/>
        <rFont val="Segoe UI"/>
        <family val="2"/>
      </rPr>
      <t xml:space="preserve">
Aceitar/Mitigar/Transferir/Evitar</t>
    </r>
  </si>
  <si>
    <r>
      <rPr>
        <b/>
        <sz val="10"/>
        <color theme="1"/>
        <rFont val="Segoe UI"/>
        <family val="2"/>
      </rPr>
      <t>Tratamento recomendado</t>
    </r>
    <r>
      <rPr>
        <sz val="10"/>
        <color theme="1"/>
        <rFont val="Segoe UI"/>
        <family val="2"/>
      </rPr>
      <t xml:space="preserve">
Mitigar/Transferir/Evitar</t>
    </r>
  </si>
  <si>
    <t>IMPACTO DA CONSEQUÊNCIA</t>
  </si>
  <si>
    <t>Fenômeno Sísmico</t>
  </si>
  <si>
    <t xml:space="preserve">TN02 </t>
  </si>
  <si>
    <t>MI - Magnitude do Impacto</t>
  </si>
  <si>
    <t>Fenômeno Vulcânico</t>
  </si>
  <si>
    <t xml:space="preserve">TN03 </t>
  </si>
  <si>
    <t>IC - Impacto da Consequência</t>
  </si>
  <si>
    <t>Fenômeno Meteorológico</t>
  </si>
  <si>
    <t xml:space="preserve">TN04 </t>
  </si>
  <si>
    <t>Inundação</t>
  </si>
  <si>
    <t xml:space="preserve">TN05 </t>
  </si>
  <si>
    <t>A perda ou indisponibilidade do ativo coloca em causa a prestação do serviço, e devido ao seu custo, não é possível substituir ou reparar o ativo.</t>
  </si>
  <si>
    <t>Pandemia</t>
  </si>
  <si>
    <t xml:space="preserve">TN06 </t>
  </si>
  <si>
    <t>A perda ou indisponibilidade do ativo pode causar um impacto elevado na prestação do serviço, e a substituição ou reparação do ativo tem um valor financeiro elevado.</t>
  </si>
  <si>
    <t>Falhas infraestruturas</t>
  </si>
  <si>
    <t>Falha de um sistema de abastecimento</t>
  </si>
  <si>
    <t xml:space="preserve">TI01 </t>
  </si>
  <si>
    <t>A, D</t>
  </si>
  <si>
    <t>Médio</t>
  </si>
  <si>
    <t>A perda ou indisponibilidade do ativo pode causar um impacto moderado na prestação do serviço, e a substituição ou reparação do ativo tem um valor financeiro moderado.</t>
  </si>
  <si>
    <t>Falha do sistema de refrigeração ou ventilação</t>
  </si>
  <si>
    <t xml:space="preserve">TI02 </t>
  </si>
  <si>
    <t>A perda ou indisponibilidade do ativo pode causar um impacto baixo na prestação do serviço, e a substituição ou reparação do ativo tem um valor financeiro baixo.</t>
  </si>
  <si>
    <t>Falha de energia</t>
  </si>
  <si>
    <t xml:space="preserve">TI03 </t>
  </si>
  <si>
    <t>Residual</t>
  </si>
  <si>
    <t>A perda ou indisponibilidade do ativo pode causar um impacto nulo ou negligente na prestação do serviço, e a substituição ou reparação do ativo tem um valor financeiro nulo ou negligente.</t>
  </si>
  <si>
    <t>Intolerável</t>
  </si>
  <si>
    <t>Falha da rede de comunicações</t>
  </si>
  <si>
    <t xml:space="preserve">TI04 </t>
  </si>
  <si>
    <t>Falha do equipamento de telecomunicações</t>
  </si>
  <si>
    <t xml:space="preserve">TI05 </t>
  </si>
  <si>
    <t>Efeito das Contramedidas Implementadas</t>
  </si>
  <si>
    <t>Radiação eletromagnética</t>
  </si>
  <si>
    <t xml:space="preserve">TI06 </t>
  </si>
  <si>
    <t>Radiação térmica</t>
  </si>
  <si>
    <t xml:space="preserve">TI07 </t>
  </si>
  <si>
    <t>Forte</t>
  </si>
  <si>
    <t>Os controlos implementados podem ser considerados como a melhor prática, ajudando a mitigar o risco.</t>
  </si>
  <si>
    <t>Pulsos eletromagnéticos</t>
  </si>
  <si>
    <t xml:space="preserve">TI08 </t>
  </si>
  <si>
    <t>Satisfatório</t>
  </si>
  <si>
    <t>Os controlos implementados são suportados por mecanismos e ferramentas adequadas e embora possam ser aperfeiçoados, mitigam o risco de forma satisfatória.</t>
  </si>
  <si>
    <t>Falhas Técnicas</t>
  </si>
  <si>
    <t xml:space="preserve">Falha do dispositivo ou sistema </t>
  </si>
  <si>
    <t xml:space="preserve">TT01 </t>
  </si>
  <si>
    <t>A</t>
  </si>
  <si>
    <t>Os controlos implementados mitigam alguns aspetos do risco, contudo não completamente.</t>
  </si>
  <si>
    <t>Sobrecarga do sistema de informação</t>
  </si>
  <si>
    <t xml:space="preserve">TT02 </t>
  </si>
  <si>
    <t>Fraco</t>
  </si>
  <si>
    <t>Os controlos implementados não são suficientes para mitigar o risco, tendo que ser aplicados novos ou melhorar os já existentes.</t>
  </si>
  <si>
    <t>Violação da manutenção do sistema de informação</t>
  </si>
  <si>
    <t xml:space="preserve">TT03 </t>
  </si>
  <si>
    <t>Inexistente</t>
  </si>
  <si>
    <t>Controlos inexistentes ou controlos sem eficácia na mitigação do risco, ou seja, não são funcionais.</t>
  </si>
  <si>
    <t>Severo</t>
  </si>
  <si>
    <t>Ações Humanas</t>
  </si>
  <si>
    <t>Ataque terrorista, sabotagem</t>
  </si>
  <si>
    <t xml:space="preserve">TH01 </t>
  </si>
  <si>
    <t>D</t>
  </si>
  <si>
    <t xml:space="preserve">Engenharia social </t>
  </si>
  <si>
    <t xml:space="preserve">TH02 </t>
  </si>
  <si>
    <t xml:space="preserve">Interceptação de radiação de um dispositivo </t>
  </si>
  <si>
    <t xml:space="preserve">TH03 </t>
  </si>
  <si>
    <t xml:space="preserve">Espionagem remota </t>
  </si>
  <si>
    <t xml:space="preserve">TH04 </t>
  </si>
  <si>
    <t>Espionagem</t>
  </si>
  <si>
    <t xml:space="preserve">TH05 </t>
  </si>
  <si>
    <t>Roubo de dados ou documentos</t>
  </si>
  <si>
    <t xml:space="preserve">TH06 </t>
  </si>
  <si>
    <t xml:space="preserve">Roubo de equipamento </t>
  </si>
  <si>
    <t xml:space="preserve">TH07 </t>
  </si>
  <si>
    <t>Roubo de identidade digital ou credenciais</t>
  </si>
  <si>
    <t xml:space="preserve">TH08 </t>
  </si>
  <si>
    <t>Recuperação de dados descartados ou reciclados</t>
  </si>
  <si>
    <t xml:space="preserve">TH09 </t>
  </si>
  <si>
    <t xml:space="preserve">Divulgação de informações </t>
  </si>
  <si>
    <t xml:space="preserve">TH10 </t>
  </si>
  <si>
    <t xml:space="preserve">Entrada de dados de fontes não confiáveis </t>
  </si>
  <si>
    <t xml:space="preserve">TH11 </t>
  </si>
  <si>
    <t xml:space="preserve">
Adulteração de hardware </t>
  </si>
  <si>
    <t xml:space="preserve">TH12 </t>
  </si>
  <si>
    <t>Adulteração de software</t>
  </si>
  <si>
    <t xml:space="preserve">TH13 </t>
  </si>
  <si>
    <t>Exploits direcionados usando comunicações baseadas na web</t>
  </si>
  <si>
    <t xml:space="preserve">TH14 </t>
  </si>
  <si>
    <t xml:space="preserve">Replay attack, man-in-the-middle attack </t>
  </si>
  <si>
    <t xml:space="preserve">TH15 </t>
  </si>
  <si>
    <t xml:space="preserve">Tratamento não autorizado de dados pessoais </t>
  </si>
  <si>
    <t xml:space="preserve">TH16 </t>
  </si>
  <si>
    <t>Entrada não autorizada nas instalações</t>
  </si>
  <si>
    <t xml:space="preserve">TH17 </t>
  </si>
  <si>
    <t>Uso não autorizado de dispositivos</t>
  </si>
  <si>
    <t xml:space="preserve">TH18 </t>
  </si>
  <si>
    <t>Uso incorreto de dispositivos</t>
  </si>
  <si>
    <t xml:space="preserve">TH19 </t>
  </si>
  <si>
    <t xml:space="preserve">Danos a dispositivos ou mídia </t>
  </si>
  <si>
    <t xml:space="preserve">TH20 </t>
  </si>
  <si>
    <t xml:space="preserve">Cópia fraudulenta de software </t>
  </si>
  <si>
    <t xml:space="preserve">TH21 </t>
  </si>
  <si>
    <t>Uso de software falsificado ou copiado</t>
  </si>
  <si>
    <t xml:space="preserve">TH22 </t>
  </si>
  <si>
    <t>Corrupção de dados</t>
  </si>
  <si>
    <t xml:space="preserve">TH23 </t>
  </si>
  <si>
    <t xml:space="preserve">
Tratamento ilegal de dados</t>
  </si>
  <si>
    <t xml:space="preserve">TH24 </t>
  </si>
  <si>
    <t>Envio ou distribuição de malware</t>
  </si>
  <si>
    <t xml:space="preserve">TH25 </t>
  </si>
  <si>
    <t>A, D, R</t>
  </si>
  <si>
    <t>Ataque de Ransomware</t>
  </si>
  <si>
    <t xml:space="preserve">TH27 </t>
  </si>
  <si>
    <t>Comprometer Funções ou Serviços</t>
  </si>
  <si>
    <t>Erro de uso</t>
  </si>
  <si>
    <t xml:space="preserve">TC01 </t>
  </si>
  <si>
    <t>Abuso de direitos ou permissões</t>
  </si>
  <si>
    <t xml:space="preserve">TC02 </t>
  </si>
  <si>
    <t xml:space="preserve">
Falsificação de direitos ou permissões</t>
  </si>
  <si>
    <t xml:space="preserve">TC03 </t>
  </si>
  <si>
    <t>Denial of actions</t>
  </si>
  <si>
    <t xml:space="preserve">TC04 </t>
  </si>
  <si>
    <t>A, E</t>
  </si>
  <si>
    <t>Ameaças Organizacionais</t>
  </si>
  <si>
    <t xml:space="preserve">
Falta de pessoal</t>
  </si>
  <si>
    <t xml:space="preserve">TO01 </t>
  </si>
  <si>
    <t>Falta de recursos</t>
  </si>
  <si>
    <t xml:space="preserve">TO02 </t>
  </si>
  <si>
    <t>Falha dos prestadores de serviços</t>
  </si>
  <si>
    <t xml:space="preserve">TO03 </t>
  </si>
  <si>
    <t xml:space="preserve">
Violação de leis ou regulamentos</t>
  </si>
  <si>
    <t xml:space="preserve">TO04 </t>
  </si>
  <si>
    <r>
      <t xml:space="preserve">IDENTIFICAÇÃO DO RISCO
</t>
    </r>
    <r>
      <rPr>
        <sz val="8"/>
        <rFont val="Segoe UI"/>
        <family val="2"/>
      </rPr>
      <t>(Células com preenchimento a cinza são automaticamente preenchidas - não eliminar, nem alterar o conteúdo)</t>
    </r>
  </si>
  <si>
    <r>
      <t xml:space="preserve">ANÁLISE DOS RISCOS
</t>
    </r>
    <r>
      <rPr>
        <sz val="8"/>
        <rFont val="Segoe UI"/>
        <family val="2"/>
      </rPr>
      <t>(Células com preenchimento a cinza são automaticamente preenchidas - não eliminar, nem alterar o conteúdo)</t>
    </r>
  </si>
  <si>
    <r>
      <t xml:space="preserve">DECISÃO DE RESPOSTA AO RISCO
</t>
    </r>
    <r>
      <rPr>
        <sz val="9"/>
        <rFont val="Segoe UI"/>
        <family val="2"/>
      </rPr>
      <t>(Células com preenchimento a cinza são automaticamente preenchidas - não eliminar, nem alterar o conteúdo)</t>
    </r>
  </si>
  <si>
    <r>
      <t xml:space="preserve">REAVALIAÇÃO DO RISCO Após PLANO DE MITIGAÇÃO
</t>
    </r>
    <r>
      <rPr>
        <sz val="8"/>
        <rFont val="Segoe UI"/>
        <family val="2"/>
      </rPr>
      <t>(Células com preenchimento a cinza são automaticamente preenchidas - não eliminar, nem alterar o conteúdo)</t>
    </r>
  </si>
  <si>
    <t>Dono Ativo</t>
  </si>
  <si>
    <t>Grupo de ativos</t>
  </si>
  <si>
    <t>N.º Risco</t>
  </si>
  <si>
    <t>Descrição da Ameaça</t>
  </si>
  <si>
    <t>Owner</t>
  </si>
  <si>
    <t>Medidas/Controlos Atuais</t>
  </si>
  <si>
    <t>Medidas/Controlos futuros a implementar</t>
  </si>
  <si>
    <t>Probabilidade de Ocorrência</t>
  </si>
  <si>
    <t>#po</t>
  </si>
  <si>
    <t>Impacto da Consequência</t>
  </si>
  <si>
    <t>#ic</t>
  </si>
  <si>
    <t>#po*#ic</t>
  </si>
  <si>
    <t>Classificação do Risco Líquido</t>
  </si>
  <si>
    <t>Ação de Resposta ao Risco</t>
  </si>
  <si>
    <t>Opção de Tratamento</t>
  </si>
  <si>
    <t>Prioritização</t>
  </si>
  <si>
    <t>Estado do Plano de Mitigação</t>
  </si>
  <si>
    <t>#Efeito das Contramedidas Implementadas</t>
  </si>
  <si>
    <t>#Classificação do Risco Residual</t>
  </si>
  <si>
    <t>Classificação do Risco Residual</t>
  </si>
  <si>
    <t>Tratamento</t>
  </si>
  <si>
    <t>MONITORIZAÇÃO</t>
  </si>
  <si>
    <t>Ativo</t>
  </si>
  <si>
    <t>Descrição do Risco</t>
  </si>
  <si>
    <t>Controlo</t>
  </si>
  <si>
    <t>Root Cause</t>
  </si>
  <si>
    <t>Ação a Implementar</t>
  </si>
  <si>
    <t>Responsável(eis) pela Implementação da(s) Ação(ões)</t>
  </si>
  <si>
    <t>Estado</t>
  </si>
  <si>
    <t>Data Prevista para Implementação</t>
  </si>
  <si>
    <t>Data Efetiva de Realização</t>
  </si>
  <si>
    <t>Ponto de Situação</t>
  </si>
  <si>
    <t>Âmbito</t>
  </si>
  <si>
    <t>Entidade Emissora</t>
  </si>
  <si>
    <t>Processos</t>
  </si>
  <si>
    <t>Tipo de Constatação</t>
  </si>
  <si>
    <t>Estado PAC</t>
  </si>
  <si>
    <t>OM acolhida?</t>
  </si>
  <si>
    <t>Rever Reflexão Estratégica?</t>
  </si>
  <si>
    <t>Avaliação Eficácia</t>
  </si>
  <si>
    <t>Acompanhamento</t>
  </si>
  <si>
    <t>XZ-Consultores</t>
  </si>
  <si>
    <t>P01 - Sistema de Gestão da Qualidade</t>
  </si>
  <si>
    <t>Ação de Melhoria</t>
  </si>
  <si>
    <t>Não iniciada(o), dentro do prazo</t>
  </si>
  <si>
    <t>Sim</t>
  </si>
  <si>
    <t>Não</t>
  </si>
  <si>
    <t>Eficaz</t>
  </si>
  <si>
    <t>Auditoria</t>
  </si>
  <si>
    <t>SGS</t>
  </si>
  <si>
    <t>P02 - Atendimento Municipal</t>
  </si>
  <si>
    <t>Não Conformidade</t>
  </si>
  <si>
    <t>Não iniciada(o), fora do prazo</t>
  </si>
  <si>
    <t>Não eficaz</t>
  </si>
  <si>
    <t>Reflexão Estratégica</t>
  </si>
  <si>
    <t>P03 - Gestão Estratégica</t>
  </si>
  <si>
    <t>Em curso, dentro do prazo</t>
  </si>
  <si>
    <t>Não aplicável</t>
  </si>
  <si>
    <t>Sim, de imediato</t>
  </si>
  <si>
    <t>Risco</t>
  </si>
  <si>
    <t>P04 - Infraestruturas de Eletricidade, AVAC e SCIE</t>
  </si>
  <si>
    <t>Em curso, fora de prazo</t>
  </si>
  <si>
    <t>P05 - Infraestruturas de Construção Civil</t>
  </si>
  <si>
    <t>Concluída(o), dentro do prazo</t>
  </si>
  <si>
    <t>P06 - Recursos Humanos</t>
  </si>
  <si>
    <t>Concluída(o), fora do prazo</t>
  </si>
  <si>
    <t>P07 - Contratação Pública</t>
  </si>
  <si>
    <t>Suspensa(o)/Anulada(o)</t>
  </si>
  <si>
    <t xml:space="preserve">P08 - Sistemas de Informação </t>
  </si>
  <si>
    <t>P09 - Fiscalização Municipal</t>
  </si>
  <si>
    <t>P10 - Planeamento</t>
  </si>
  <si>
    <t>P11 - Contraordenações</t>
  </si>
  <si>
    <t>P12 - Fiscalização Rodoviária</t>
  </si>
  <si>
    <t>P13 - Ocupação do Espaço Público</t>
  </si>
  <si>
    <t>P14 - Isenções de Taxas e Outras Receitas Municipais</t>
  </si>
  <si>
    <t>P15 - Metrologia</t>
  </si>
  <si>
    <t xml:space="preserve">P16 - Apoio aos Órgãos Autárquicos </t>
  </si>
  <si>
    <t>P17 - Fiscalizaçãodas Empreitadas do Município</t>
  </si>
  <si>
    <t>P18 - Gestão de Estudos e Projetos Municipais</t>
  </si>
  <si>
    <t>Controlos da ISO 27001</t>
  </si>
  <si>
    <t>Trimestre</t>
  </si>
  <si>
    <t>Estado Eficácia PAC</t>
  </si>
  <si>
    <t>Tipo de Ação</t>
  </si>
  <si>
    <t>Grau de Execução Ações decorrentes de Riscos</t>
  </si>
  <si>
    <t>Probabilidade/Gravidade</t>
  </si>
  <si>
    <t xml:space="preserve"> ---</t>
  </si>
  <si>
    <t>1.º T</t>
  </si>
  <si>
    <t>Avaliado, dentro do prazo</t>
  </si>
  <si>
    <t>Ação de Correção</t>
  </si>
  <si>
    <t>Não Iniciada (NI)</t>
  </si>
  <si>
    <t>Baixa</t>
  </si>
  <si>
    <t xml:space="preserve">A5 Políticas de segurança da informação </t>
  </si>
  <si>
    <t>2.º T</t>
  </si>
  <si>
    <t>Avaliado, fora do prazo</t>
  </si>
  <si>
    <t>Ação Corretiva</t>
  </si>
  <si>
    <t>Em curso/ Parcialmente implementada (P)</t>
  </si>
  <si>
    <t>Média</t>
  </si>
  <si>
    <t>A5.1  Diretrizes de gestão para a segurança da informação</t>
  </si>
  <si>
    <t>3.º T</t>
  </si>
  <si>
    <t>Não avaliado</t>
  </si>
  <si>
    <t>Concluída/ Totalmente implementada (T)</t>
  </si>
  <si>
    <t xml:space="preserve">Alta </t>
  </si>
  <si>
    <t>A5.1.1  Políticas para a segurança da informação</t>
  </si>
  <si>
    <t>4.º T</t>
  </si>
  <si>
    <t>Suspenso</t>
  </si>
  <si>
    <t>n/a</t>
  </si>
  <si>
    <t>A5.1.2  Revisão das políticas para a segurança da informação</t>
  </si>
  <si>
    <t>Anulado</t>
  </si>
  <si>
    <t xml:space="preserve">A6 Organização da segurança da informação </t>
  </si>
  <si>
    <t>A6.1 Organização Interna</t>
  </si>
  <si>
    <t>Ano</t>
  </si>
  <si>
    <t>decisão sobre manutenção ação</t>
  </si>
  <si>
    <t>A6.1.1  Papeis e responsabilidades de segurança da Informação</t>
  </si>
  <si>
    <t>Manter</t>
  </si>
  <si>
    <t>A6.1.2  Segregação de funções</t>
  </si>
  <si>
    <t>Manter mas alterar descrição</t>
  </si>
  <si>
    <t>A6.1.3  Contacto com autoridades competentes</t>
  </si>
  <si>
    <t>Eliminar</t>
  </si>
  <si>
    <t>A6.1.4  Contacto comm grupos de interesse especial</t>
  </si>
  <si>
    <t>A6.1.5  Segurança da informação na gestão de projeto</t>
  </si>
  <si>
    <t>A6.2  Dispositivos móveis e teletrabalho</t>
  </si>
  <si>
    <t>A6.2.1  Política de dispositivos móveis</t>
  </si>
  <si>
    <t>A6.2.2  Teletrabalho</t>
  </si>
  <si>
    <t xml:space="preserve">A7 Segurança em recursos humanos </t>
  </si>
  <si>
    <t>A7.1  Anterior à contratação</t>
  </si>
  <si>
    <t>A7.1.1  Seleção</t>
  </si>
  <si>
    <t>A7.1.2  Termos e condições da contratação</t>
  </si>
  <si>
    <t>A7.1  Durante a contratação</t>
  </si>
  <si>
    <t>A7.2.1  Responsabilidades de gestão</t>
  </si>
  <si>
    <t>A7.2.2  Consciencialização, educação e formação em segurança da informação</t>
  </si>
  <si>
    <t>A7.2.3  Processo disciplinar</t>
  </si>
  <si>
    <t>A7.3  Término e mudança da contratação</t>
  </si>
  <si>
    <t>A7.3.1  Responsabilidades pelo término ou mudanças da contratação</t>
  </si>
  <si>
    <t xml:space="preserve">A8 Gestão de ativos </t>
  </si>
  <si>
    <t>A8.1  Responsibilidade pelos ativos</t>
  </si>
  <si>
    <t>A8.1.1  Inventário de ativos</t>
  </si>
  <si>
    <t>A8.1.2  Responsibilidade pelos ativos</t>
  </si>
  <si>
    <t>A8.1.3  Utilização aceitável de ativos</t>
  </si>
  <si>
    <t>A8.1.4  Devolução de ativos</t>
  </si>
  <si>
    <t>A8.2  Classificação da informação</t>
  </si>
  <si>
    <t>A8.2.1  Classificação da informação</t>
  </si>
  <si>
    <t>A8.2.2  Etiquetagem da informação</t>
  </si>
  <si>
    <t>A8.2.3  Manuseamento de ativos</t>
  </si>
  <si>
    <t>A8.3 Manuseamento de suporte de dados</t>
  </si>
  <si>
    <t>A8.3.1 Gestão de suportes de dados amovíveis</t>
  </si>
  <si>
    <t>A8.3.2 Eliminação de suporte de dados</t>
  </si>
  <si>
    <t>A8.3.3 Transporte de suporte de dados</t>
  </si>
  <si>
    <t>A9 Controlo de acesso</t>
  </si>
  <si>
    <t>A9.1 Requisitos de negócio para o controlo de acessos</t>
  </si>
  <si>
    <t>A9.1.1 Política de Controlo de Acessos</t>
  </si>
  <si>
    <t>A9.1.2 Acesso às redes e serviços de rede</t>
  </si>
  <si>
    <t>A9.2 Gestão de acessos de utilisadores</t>
  </si>
  <si>
    <t>A9.2.1 Registo e cancelamento de utilisadores</t>
  </si>
  <si>
    <t>A9.2.2 Provisionamento para acessos de utilisadores</t>
  </si>
  <si>
    <t>A9.2.3 Gestão dos direitos de acessos privilegiados</t>
  </si>
  <si>
    <t>A9.2.4 Gestão da informação de autenticação secreta dos utilisadores</t>
  </si>
  <si>
    <t>A9.2.5 Revisão dos direitos de acesso dos utilisadores</t>
  </si>
  <si>
    <t>A9.2.6 Remoção ou ajuste aos direitos de acesso</t>
  </si>
  <si>
    <t>A9.3 Responsabilidades dos utilisadores</t>
  </si>
  <si>
    <t>A9.3.1 Uso de informação de autenticação secreta</t>
  </si>
  <si>
    <t>A9.4 Controlo de acessos ao sistema e aplicações</t>
  </si>
  <si>
    <t>A9.4.1 Restrição de acesso à informação</t>
  </si>
  <si>
    <t>A9.4.2 Procedimentos seguros de acessos (log-on)</t>
  </si>
  <si>
    <t>A9.4.3 Sistema de gestão de password</t>
  </si>
  <si>
    <t>A9.4.4 Utilisação de programas utilitários privilegiados</t>
  </si>
  <si>
    <t>A9.4.5 Controlo de acesso ao código-fonte de programas</t>
  </si>
  <si>
    <t>A10 Criptografia</t>
  </si>
  <si>
    <t>A10.1 Controlos criptográficos</t>
  </si>
  <si>
    <t>A10.1.1 Política de uso de controlos criptográficos</t>
  </si>
  <si>
    <t>A10.1.2 Gestão de senhas</t>
  </si>
  <si>
    <t xml:space="preserve">A11 Segurança física e do ambiente </t>
  </si>
  <si>
    <t>A11.1 Áreas seguras</t>
  </si>
  <si>
    <t>A11.1.1 Perímetro de segurança física</t>
  </si>
  <si>
    <t>A11.1.2 Controlos de entradas físicas</t>
  </si>
  <si>
    <t>A11.1.3 Segurança em escritórios, salas e instalações</t>
  </si>
  <si>
    <t>A11.1.4 Proteção contra ameaças externas e do meio ambiente</t>
  </si>
  <si>
    <t>A11.1.5 Trabalhando em áreas seguras</t>
  </si>
  <si>
    <t>A11.1.6 Áreas de entrega e carregamento</t>
  </si>
  <si>
    <t>A11.2 Equipamentos</t>
  </si>
  <si>
    <t>A11.2.1 Escolha de local e proteção de equipamentos</t>
  </si>
  <si>
    <t>A11.2.2 Utilidades de suporte</t>
  </si>
  <si>
    <t>A11.2.3 Segurança de cabeamento</t>
  </si>
  <si>
    <t>A11.2.4 Manutenção dos equipamentos</t>
  </si>
  <si>
    <t>A11.2.5 Remoção de ativos</t>
  </si>
  <si>
    <t>A11.2.6 Segurança de equipamentos e ativos  fora das instalações</t>
  </si>
  <si>
    <t>A11.2.7 Eliminação e reutilização seguras de equipamentos</t>
  </si>
  <si>
    <t>A11.2.8 Equipamento de utilizador não vigiado</t>
  </si>
  <si>
    <t>A11.2.9 Política de secretária limpa e ecrã limpo</t>
  </si>
  <si>
    <t xml:space="preserve">A12 Segurança nas operações </t>
  </si>
  <si>
    <t>A12.1 Responsabildiades e procediemtnos operacionais</t>
  </si>
  <si>
    <t>A12.1.1 Documentação dos procedimentos operacionais</t>
  </si>
  <si>
    <t>A12.1.2 Gestão da mudança</t>
  </si>
  <si>
    <t>A12.1.3 Gestão de capacidade</t>
  </si>
  <si>
    <t>A12.1.4 Separação dos ambientes de desenvolvimento, teste e produção</t>
  </si>
  <si>
    <t>A12.2 Proteção contra malware</t>
  </si>
  <si>
    <t>A12.2.1 Controlos contra malwares</t>
  </si>
  <si>
    <t>A12.3 Backup</t>
  </si>
  <si>
    <t>A12.3.1 Backup de infromação</t>
  </si>
  <si>
    <t>A12.4 Registos e monitorização</t>
  </si>
  <si>
    <t>A12.4.1 Registo de eventos</t>
  </si>
  <si>
    <t>A12.4.2 Proteção da informação de logs</t>
  </si>
  <si>
    <t>A12.4.3 Registos de logs de administrator e operador</t>
  </si>
  <si>
    <t>A12.4.4 Sincronização dos relógios</t>
  </si>
  <si>
    <t>A12.5 Controlo de software operacional</t>
  </si>
  <si>
    <t>A12.5 .1 Instalação de software nos sistemas operacionais</t>
  </si>
  <si>
    <t>A12.6 Gestão de vulnerabilidade técnica</t>
  </si>
  <si>
    <t>A12.6 .1 Gestão de vulnerabilidades técnicas</t>
  </si>
  <si>
    <t>A12.6 .2 Restrições sobre a instalação de software</t>
  </si>
  <si>
    <t>A12.7 Considerações para auditorias a sistemas de informação</t>
  </si>
  <si>
    <t>A12.7.1 Controlos de auditoria nos sistemas de informação</t>
  </si>
  <si>
    <t>A13 Segurança nas comunicações</t>
  </si>
  <si>
    <t>A13.1 Gestão da segurança de redes</t>
  </si>
  <si>
    <t>A13.1.1 Controlos de redes</t>
  </si>
  <si>
    <t>A13.1.2 Segurança dos serviços de rede</t>
  </si>
  <si>
    <t>A13.1.3 Segregação de redes</t>
  </si>
  <si>
    <t>A13.2 Transferência da informação</t>
  </si>
  <si>
    <t>A13.2.1 Política e procedimento para transferência de informações</t>
  </si>
  <si>
    <t>A13.2.2 Acordos para a transferência de informação</t>
  </si>
  <si>
    <t>A13.2.3 Mensagens eletrónicas</t>
  </si>
  <si>
    <t>A13.2.4 Acordos de confidencialidade ou não divulgação</t>
  </si>
  <si>
    <t xml:space="preserve">A14 Aquisição, desenvolvimento e manutenção de sistemas </t>
  </si>
  <si>
    <t>A14.1 Requisitos de segurança de sistemas de informação</t>
  </si>
  <si>
    <t>A14.1.1 Especificação e análise de requisitos de segurança de informação</t>
  </si>
  <si>
    <t>A14.1.2 Proteger serviços aplicacionais nas redes públicas</t>
  </si>
  <si>
    <t>A14.1.3 Proteger transações de serviços aplicacionais</t>
  </si>
  <si>
    <t>A14.2 Segurança no desenvolvimento e no processos de suporte</t>
  </si>
  <si>
    <t>A14.2.1 Política de desenvolvimento seguro</t>
  </si>
  <si>
    <t>A14.2.2 Procedimentos de controlo de alterações aos sistemas</t>
  </si>
  <si>
    <t>A14.2.3 Revisão técnica de aplicações após alterações na plataforma de produção</t>
  </si>
  <si>
    <t>A14.2.4 Restrições sobre alterações em pacotes de softwares</t>
  </si>
  <si>
    <t>A14.2.5 Princípio de Engenharia de Sistemas Seguro</t>
  </si>
  <si>
    <t>A14.2.6 Ambiente de Desenvolvimento Seguro</t>
  </si>
  <si>
    <t>A14.2.7 Desenvolvimento subcontrado</t>
  </si>
  <si>
    <t>A14.2.8 Testes de segurança de sistemas</t>
  </si>
  <si>
    <t>A14.2.9 Teste de aceitação de sistemas</t>
  </si>
  <si>
    <t>A14.3 Dados de teste</t>
  </si>
  <si>
    <t>A14.3.1 Proteção de dados de teste</t>
  </si>
  <si>
    <t>A15 Relacionamento na cadeia de fornecimento</t>
  </si>
  <si>
    <t>A15.1 Segurança da informação na cadeia de fornecimento</t>
  </si>
  <si>
    <t>A15.1.1 Política de segurança da informação no relacionamneto com fornecedores</t>
  </si>
  <si>
    <t>A15.1.2 Abordar a segurança nos contratos com fornecedores</t>
  </si>
  <si>
    <t>A15.1.3 Cadeia de fornecimentos de TIC</t>
  </si>
  <si>
    <t>A15.2 Gestão da entrega do serviço de fornecimento</t>
  </si>
  <si>
    <t>A15.2.1 Monitorisação e análise crítica de serviços com fornecedores</t>
  </si>
  <si>
    <t>A15.2.2 Gestão da mudança para serviços com fornecedores</t>
  </si>
  <si>
    <t xml:space="preserve">A16 Gestão de incidentes de segurança da informação </t>
  </si>
  <si>
    <t>A16.1 Gestão de incidentes de segurança da informação &amp; melhorias</t>
  </si>
  <si>
    <t>A16.1.1 Responsabilidades e procedimentos</t>
  </si>
  <si>
    <t>A16.1.2 Notificação de eventos de segurança da informação</t>
  </si>
  <si>
    <t>A16.1.3 Notificação de fragilidades da segurança da informação</t>
  </si>
  <si>
    <t>A16.1.4 Avaliação e decisão dos eventos de segurança da informação</t>
  </si>
  <si>
    <t>A16.1.5 Resposta aos incidentes de segurança da informação</t>
  </si>
  <si>
    <t>A16.1.6 Aprendendo com os incidentes de segurança da informação</t>
  </si>
  <si>
    <t>A16.1.7 Recolha de evidências</t>
  </si>
  <si>
    <t xml:space="preserve">A17 Aspetos da segurança da informação na gestão da continuidade do negócio </t>
  </si>
  <si>
    <t>A17.1 Continuidade da segurança da informação</t>
  </si>
  <si>
    <t>A17.1.1 Planeamento da continuidade da segurança da informação</t>
  </si>
  <si>
    <t>A17.1.2 Implementação da continuidade da segurança da informação</t>
  </si>
  <si>
    <t>A17.1.3 Verificação, revisão e avaliação da continuidade da segurança da informação</t>
  </si>
  <si>
    <t>A17.2 Redundâncias</t>
  </si>
  <si>
    <t>A17.2.1 Disponibilidade dos recursos de processamento da informação</t>
  </si>
  <si>
    <t>A18 Conformidade</t>
  </si>
  <si>
    <t>A18.1 Conformidade com requisitos legais e contratuais</t>
  </si>
  <si>
    <t>A18.1.1 Identificação da legislação aplicável e requisitos contratuais</t>
  </si>
  <si>
    <t>A18.1.2 Direitos de propriedade intelectual</t>
  </si>
  <si>
    <t>A18.1.3 Proteção de registos</t>
  </si>
  <si>
    <t>A18.1.4 Proteção e privacidade de informação de identificação pessoal</t>
  </si>
  <si>
    <t>A18.1.5 Regulamentação de controlos de criptografia</t>
  </si>
  <si>
    <t>A18.2 Revisão da informação de segurança</t>
  </si>
  <si>
    <t>A18.2.1 Revisão independente da segurança da informação</t>
  </si>
  <si>
    <t>A18.2.2 Conformidade com  as políticas e normas de segurança</t>
  </si>
  <si>
    <t>A18.2.3 Revisão da conformidade técnica</t>
  </si>
  <si>
    <t>O custo de oportunidade do ativo não afeta significativamente a  continuidade da prestação do serviço e mas origina uma perda relevante na produtividade.</t>
  </si>
  <si>
    <t>O custo de oportunidade do ativo coloca em causa a continuidade do serviço prestado, conduzindo a uma perda na produtividade extremamente elevada.</t>
  </si>
  <si>
    <t>O custo de oportunidade do ativo afeta a continuidade do serviço prestado, implicando uma significativa perda na produtividade.</t>
  </si>
  <si>
    <t>O custo de oportunidade do ativo não afeta a continuidade da prestação do serviço e não implica uma perda relevante na produtividade.</t>
  </si>
  <si>
    <t>Observações</t>
  </si>
  <si>
    <t>5.1 Políticas para segurança da informação</t>
  </si>
  <si>
    <t>5.2 Papéis e responsabilidades em segurança da informação</t>
  </si>
  <si>
    <t>5.3 Segregação de funções</t>
  </si>
  <si>
    <t>5.4 Responsabilidades de gestão</t>
  </si>
  <si>
    <t>5.5 Contato com autoridades</t>
  </si>
  <si>
    <t>5.6 Contato com grupos de interesse especial</t>
  </si>
  <si>
    <t>5.7 Inteligência de ameaças</t>
  </si>
  <si>
    <t>5.8 Segurança da informação na gestão de projetos</t>
  </si>
  <si>
    <t>5.9 Inventário de informações e outros ativos associados</t>
  </si>
  <si>
    <t>5.10 Uso aceitável de informações e outros ativos associados</t>
  </si>
  <si>
    <t>5.11 Devolução de ativos</t>
  </si>
  <si>
    <t>5.12 Classificação da informação</t>
  </si>
  <si>
    <t>5.13 Etiquetagem da informação</t>
  </si>
  <si>
    <t>5.14 Transferência de informação</t>
  </si>
  <si>
    <t>5.15 Controlo de acesso</t>
  </si>
  <si>
    <t>5.16 Gestão de identidade</t>
  </si>
  <si>
    <t>5.17 Informação de autenticação</t>
  </si>
  <si>
    <t>5.18 Direitos de acesso</t>
  </si>
  <si>
    <t>5.19 Segurança da informação em relacionamentos com fornecedores</t>
  </si>
  <si>
    <t>5.20 Abordagem da segurança da informação em acordos com fornecedores</t>
  </si>
  <si>
    <t>5.21 Gestão da segurança da informação na cadeia de fornecimento de tecnologia da informação e comunicação (TIC)</t>
  </si>
  <si>
    <t>5.22 Monitorização, revisão e gestão de alterações nos serviços de fornecedores</t>
  </si>
  <si>
    <t>5.23 Segurança da informação para uso de serviços em nuvem</t>
  </si>
  <si>
    <t>5.24 Planeamento e preparação para a gestão de incidentes de segurança da informação</t>
  </si>
  <si>
    <t>5.25 Avaliação e decisão sobre eventos de segurança da informação</t>
  </si>
  <si>
    <t>5.26 Resposta a incidentes de segurança da informação</t>
  </si>
  <si>
    <t>5.27 Lições aprendidas com incidentes de segurança da informação</t>
  </si>
  <si>
    <t>5.28 Recolha de evidências</t>
  </si>
  <si>
    <t>5.29 Segurança da informação durante interrupções</t>
  </si>
  <si>
    <t>5.30 Prontidão em TIC para continuidade de negócios</t>
  </si>
  <si>
    <t>5.31 Requisitos legais, estatutários, regulamentares e contratuais</t>
  </si>
  <si>
    <t>5.32 Direitos de propriedade intelectual</t>
  </si>
  <si>
    <t>5.33 Proteção de registos</t>
  </si>
  <si>
    <t>5.34 Privacidade e proteção de informações pessoais identificáveis (PII)</t>
  </si>
  <si>
    <t>5.35 Revisão independente de segurança da informação</t>
  </si>
  <si>
    <t>5.36 Conformidade com políticas, regras e padrões de segurança da informação</t>
  </si>
  <si>
    <t>5.37 Procedimentos operacionais documentados</t>
  </si>
  <si>
    <t>6.1 Verificação de antecedentes</t>
  </si>
  <si>
    <t>6.2 Termos e condições de emprego</t>
  </si>
  <si>
    <t>6.3 Sensibilização, formação e educação em segurança da informação</t>
  </si>
  <si>
    <t>6.4 Processo disciplinar</t>
  </si>
  <si>
    <t>6.5 Responsabilidades após a cessação ou alteração do vínculo laboral</t>
  </si>
  <si>
    <t>6.6 Acordos de confidencialidade ou de não divulgação</t>
  </si>
  <si>
    <t>6.7 Trabalho remoto</t>
  </si>
  <si>
    <t>6.8 Comunicação de incidentes de segurança da informação</t>
  </si>
  <si>
    <t>7.1 Perímetros de segurança física</t>
  </si>
  <si>
    <t>7.2 Entrada física</t>
  </si>
  <si>
    <t>7.3 Segurança de escritórios, salas e instalações</t>
  </si>
  <si>
    <t>7.4 Monitorização de segurança física</t>
  </si>
  <si>
    <t>7.5 Proteção contra ameaças físicas e ambientais</t>
  </si>
  <si>
    <t>7.6 Trabalho em áreas seguras</t>
  </si>
  <si>
    <t>7.7 Secretária limpa e ecrã limpo</t>
  </si>
  <si>
    <t>7.8 Localização e proteção de equipamentos</t>
  </si>
  <si>
    <t>7.9 Segurança de ativos fora das instalações</t>
  </si>
  <si>
    <t>7.10 Meios de armazenamento</t>
  </si>
  <si>
    <t>7.11 Utilidades de suporte</t>
  </si>
  <si>
    <t>7.12 Segurança dos cabos</t>
  </si>
  <si>
    <t>7.13 Manutenção de equipamentos</t>
  </si>
  <si>
    <t>7.14 Destruição ou reutilização segura de equipamentos</t>
  </si>
  <si>
    <t>8.1 Dispositivos de ponto final de utilizador</t>
  </si>
  <si>
    <t>8.2 Direitos de acesso privilegiados</t>
  </si>
  <si>
    <t>8.3 Restrição de acesso à informação</t>
  </si>
  <si>
    <t>8.4 Acesso ao código fonte</t>
  </si>
  <si>
    <t>8.5 Autenticação segura</t>
  </si>
  <si>
    <t>8.6 Gestão de capacidade</t>
  </si>
  <si>
    <t>8.7 Proteção contra malware</t>
  </si>
  <si>
    <t>8.8 Gestão de vulnerabilidades técnicas</t>
  </si>
  <si>
    <t>8.9 Gestão de configurações</t>
  </si>
  <si>
    <t>8.10 Eliminação de informação</t>
  </si>
  <si>
    <t>8.11 Mascaramento de dados</t>
  </si>
  <si>
    <t>8.12 Prevenção de fuga de dados</t>
  </si>
  <si>
    <t>8.13 Backup de informação</t>
  </si>
  <si>
    <t>8.14 Redundância das instalações de processamento de informação</t>
  </si>
  <si>
    <t>8.15 Registos (Logging)</t>
  </si>
  <si>
    <t>8.16 Atividades de monitorização</t>
  </si>
  <si>
    <t>8.17 Sincronização de relógio</t>
  </si>
  <si>
    <t>8.18 Uso de programas utilitários privilegiados</t>
  </si>
  <si>
    <t>8.19 Instalação de software em sistemas operacionais</t>
  </si>
  <si>
    <t>8.20 Segurança de redes</t>
  </si>
  <si>
    <t>8.21 Segurança dos serviços de rede</t>
  </si>
  <si>
    <t>8.22 Segregação de redes</t>
  </si>
  <si>
    <t>8.23 Filtragem da Web</t>
  </si>
  <si>
    <t>8.24 Uso de criptografia</t>
  </si>
  <si>
    <t>8.25 Ciclo de vida de desenvolvimento seguro</t>
  </si>
  <si>
    <t>8.26 Requisitos de segurança de aplicações</t>
  </si>
  <si>
    <t>8.27 Princípios de arquitetura e engenharia de sistemas seguros</t>
  </si>
  <si>
    <t>8.28 Codificação segura</t>
  </si>
  <si>
    <t>8.29 Testes de segurança em desenvolvimento e aceitação</t>
  </si>
  <si>
    <t>8.30 Desenvolvimento externalizado</t>
  </si>
  <si>
    <t>8.31 Separação de ambientes de desenvolvimento, teste e produção</t>
  </si>
  <si>
    <t>8.32 Gestão de alterações</t>
  </si>
  <si>
    <t>8.33 Informação de teste</t>
  </si>
  <si>
    <t>8.34 Proteção dos sistemas de informação durante testes de auditoria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</si>
</sst>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</font>
    <font>
      <sz val="10"/>
      <name val="Arial"/>
      <family val="2"/>
    </font>
    <font>
      <sz val="9"/>
      <name val="Calibri"/>
      <family val="2"/>
      <scheme val="minor"/>
    </font>
    <font>
      <sz val="9"/>
      <color rgb="FF7030A0"/>
      <name val="Calibri"/>
      <family val="2"/>
      <scheme val="minor"/>
    </font>
    <font>
      <sz val="9"/>
      <color rgb="FF7030A0"/>
      <name val="Calibri"/>
      <family val="2"/>
    </font>
    <font>
      <sz val="8"/>
      <name val="Calibri"/>
      <family val="2"/>
      <scheme val="minor"/>
    </font>
    <font>
      <sz val="10"/>
      <name val="Arial"/>
      <family val="2"/>
    </font>
    <font>
      <sz val="10"/>
      <color theme="0"/>
      <name val="Segoe UI"/>
      <family val="2"/>
    </font>
    <font>
      <sz val="10"/>
      <color theme="1"/>
      <name val="Segoe UI"/>
      <family val="2"/>
    </font>
    <font>
      <sz val="11"/>
      <color rgb="FF595959"/>
      <name val="Segoe UI"/>
      <family val="2"/>
    </font>
    <font>
      <b/>
      <sz val="10"/>
      <name val="Segoe UI"/>
      <family val="2"/>
    </font>
    <font>
      <sz val="11"/>
      <name val="Segoe UI"/>
      <family val="2"/>
    </font>
    <font>
      <b/>
      <sz val="18"/>
      <name val="Segoe UI"/>
      <family val="2"/>
    </font>
    <font>
      <b/>
      <sz val="11"/>
      <name val="Segoe UI"/>
      <family val="2"/>
    </font>
    <font>
      <sz val="10"/>
      <name val="Segoe UI"/>
      <family val="2"/>
    </font>
    <font>
      <b/>
      <sz val="14"/>
      <name val="Segoe UI"/>
      <family val="2"/>
    </font>
    <font>
      <b/>
      <sz val="11"/>
      <color theme="0"/>
      <name val="Segoe UI"/>
      <family val="2"/>
    </font>
    <font>
      <sz val="8"/>
      <color theme="0"/>
      <name val="Segoe UI"/>
      <family val="2"/>
    </font>
    <font>
      <sz val="11"/>
      <color theme="0"/>
      <name val="Segoe UI"/>
      <family val="2"/>
    </font>
    <font>
      <b/>
      <sz val="11"/>
      <color theme="1" tint="0.34998626667073579"/>
      <name val="Segoe UI"/>
      <family val="2"/>
    </font>
    <font>
      <b/>
      <sz val="11"/>
      <color rgb="FFFFFFFF"/>
      <name val="Segoe UI"/>
      <family val="2"/>
    </font>
    <font>
      <sz val="11"/>
      <color theme="1" tint="0.34998626667073579"/>
      <name val="Segoe UI"/>
      <family val="2"/>
    </font>
    <font>
      <b/>
      <sz val="10"/>
      <color theme="0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  <font>
      <b/>
      <sz val="10"/>
      <color theme="1"/>
      <name val="Segoe UI"/>
      <family val="2"/>
    </font>
    <font>
      <b/>
      <sz val="9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theme="1"/>
      <name val="Segoe UI"/>
      <family val="2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0"/>
      <name val="Segoe UI"/>
      <family val="2"/>
    </font>
    <font>
      <b/>
      <sz val="14"/>
      <color theme="0"/>
      <name val="Segoe UI"/>
      <family val="2"/>
    </font>
    <font>
      <b/>
      <sz val="12"/>
      <name val="Segoe UI"/>
      <family val="2"/>
    </font>
    <font>
      <sz val="8"/>
      <color theme="1"/>
      <name val="Segoe UI"/>
      <family val="2"/>
    </font>
    <font>
      <sz val="8"/>
      <name val="Segoe UI"/>
      <family val="2"/>
    </font>
    <font>
      <sz val="10"/>
      <color indexed="8"/>
      <name val="Helvetica Neue"/>
    </font>
    <font>
      <sz val="11"/>
      <color theme="1"/>
      <name val="Segoe UI"/>
    </font>
    <font>
      <sz val="11"/>
      <color rgb="FF000000"/>
      <name val="Segoe UI"/>
    </font>
    <font>
      <b/>
      <sz val="9"/>
      <name val="Segoe UI"/>
    </font>
    <font>
      <sz val="9"/>
      <name val="Segoe UI"/>
    </font>
  </fonts>
  <fills count="2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42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9BDE"/>
        <bgColor rgb="FF000000"/>
      </patternFill>
    </fill>
    <fill>
      <patternFill patternType="solid">
        <fgColor rgb="FF009BD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AE2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rgb="FFD9D9D9"/>
      </patternFill>
    </fill>
  </fills>
  <borders count="39">
    <border>
      <left/>
      <right/>
      <top/>
      <bottom/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auto="1"/>
      </left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</borders>
  <cellStyleXfs count="9">
    <xf numFmtId="0" fontId="0" fillId="0" borderId="0"/>
    <xf numFmtId="0" fontId="5" fillId="0" borderId="0"/>
    <xf numFmtId="0" fontId="5" fillId="0" borderId="0"/>
    <xf numFmtId="0" fontId="10" fillId="0" borderId="0"/>
    <xf numFmtId="0" fontId="5" fillId="0" borderId="0"/>
    <xf numFmtId="9" fontId="5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5" fillId="0" borderId="0"/>
    <xf numFmtId="0" fontId="42" fillId="0" borderId="0" applyNumberFormat="0" applyFill="0" applyBorder="0" applyProtection="0">
      <alignment vertical="top" wrapText="1"/>
    </xf>
  </cellStyleXfs>
  <cellXfs count="255">
    <xf numFmtId="0" fontId="0" fillId="0" borderId="0" xfId="0"/>
    <xf numFmtId="0" fontId="3" fillId="4" borderId="0" xfId="0" applyFont="1" applyFill="1" applyAlignment="1">
      <alignment horizontal="center"/>
    </xf>
    <xf numFmtId="0" fontId="3" fillId="0" borderId="0" xfId="0" applyFont="1"/>
    <xf numFmtId="0" fontId="2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2" fillId="0" borderId="0" xfId="0" applyFont="1"/>
    <xf numFmtId="0" fontId="0" fillId="4" borderId="0" xfId="0" applyFill="1" applyAlignment="1">
      <alignment horizontal="center"/>
    </xf>
    <xf numFmtId="0" fontId="2" fillId="0" borderId="0" xfId="0" applyFont="1" applyAlignment="1">
      <alignment horizontal="left"/>
    </xf>
    <xf numFmtId="0" fontId="2" fillId="5" borderId="0" xfId="0" applyFont="1" applyFill="1"/>
    <xf numFmtId="0" fontId="1" fillId="0" borderId="1" xfId="1" applyFont="1" applyBorder="1" applyAlignment="1" applyProtection="1">
      <alignment horizontal="left" vertical="center" shrinkToFit="1"/>
      <protection locked="0"/>
    </xf>
    <xf numFmtId="0" fontId="1" fillId="6" borderId="1" xfId="1" applyFont="1" applyFill="1" applyBorder="1" applyAlignment="1" applyProtection="1">
      <alignment horizontal="left" vertical="center" shrinkToFit="1"/>
      <protection locked="0"/>
    </xf>
    <xf numFmtId="0" fontId="1" fillId="3" borderId="1" xfId="1" applyFont="1" applyFill="1" applyBorder="1" applyAlignment="1" applyProtection="1">
      <alignment horizontal="left" vertical="center" shrinkToFit="1"/>
      <protection locked="0"/>
    </xf>
    <xf numFmtId="0" fontId="6" fillId="0" borderId="1" xfId="1" applyFont="1" applyBorder="1" applyAlignment="1" applyProtection="1">
      <alignment horizontal="left" vertical="center" shrinkToFit="1"/>
      <protection locked="0"/>
    </xf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left" vertical="center" wrapText="1"/>
    </xf>
    <xf numFmtId="0" fontId="2" fillId="0" borderId="0" xfId="0" quotePrefix="1" applyFont="1"/>
    <xf numFmtId="0" fontId="13" fillId="7" borderId="0" xfId="2" applyFont="1" applyFill="1"/>
    <xf numFmtId="0" fontId="13" fillId="8" borderId="17" xfId="2" applyFont="1" applyFill="1" applyBorder="1"/>
    <xf numFmtId="0" fontId="13" fillId="8" borderId="16" xfId="2" applyFont="1" applyFill="1" applyBorder="1"/>
    <xf numFmtId="0" fontId="13" fillId="8" borderId="14" xfId="2" applyFont="1" applyFill="1" applyBorder="1"/>
    <xf numFmtId="0" fontId="13" fillId="8" borderId="18" xfId="2" applyFont="1" applyFill="1" applyBorder="1"/>
    <xf numFmtId="0" fontId="14" fillId="8" borderId="0" xfId="2" applyFont="1" applyFill="1" applyAlignment="1">
      <alignment horizontal="right" vertical="center"/>
    </xf>
    <xf numFmtId="0" fontId="15" fillId="8" borderId="0" xfId="2" applyFont="1" applyFill="1" applyAlignment="1">
      <alignment horizontal="left" vertical="center"/>
    </xf>
    <xf numFmtId="0" fontId="13" fillId="8" borderId="15" xfId="2" applyFont="1" applyFill="1" applyBorder="1"/>
    <xf numFmtId="14" fontId="15" fillId="8" borderId="0" xfId="2" applyNumberFormat="1" applyFont="1" applyFill="1" applyAlignment="1">
      <alignment horizontal="left" vertical="center"/>
    </xf>
    <xf numFmtId="0" fontId="17" fillId="8" borderId="0" xfId="2" applyFont="1" applyFill="1" applyAlignment="1">
      <alignment horizontal="left" vertical="center"/>
    </xf>
    <xf numFmtId="0" fontId="14" fillId="8" borderId="0" xfId="2" applyFont="1" applyFill="1" applyAlignment="1">
      <alignment horizontal="right"/>
    </xf>
    <xf numFmtId="0" fontId="18" fillId="8" borderId="0" xfId="2" applyFont="1" applyFill="1"/>
    <xf numFmtId="0" fontId="15" fillId="8" borderId="0" xfId="2" applyFont="1" applyFill="1"/>
    <xf numFmtId="0" fontId="13" fillId="8" borderId="0" xfId="2" applyFont="1" applyFill="1"/>
    <xf numFmtId="0" fontId="20" fillId="12" borderId="2" xfId="2" applyFont="1" applyFill="1" applyBorder="1" applyAlignment="1">
      <alignment horizontal="center" vertical="center" wrapText="1"/>
    </xf>
    <xf numFmtId="0" fontId="20" fillId="12" borderId="10" xfId="2" applyFont="1" applyFill="1" applyBorder="1" applyAlignment="1">
      <alignment horizontal="center" vertical="center" wrapText="1"/>
    </xf>
    <xf numFmtId="14" fontId="18" fillId="8" borderId="2" xfId="2" applyNumberFormat="1" applyFont="1" applyFill="1" applyBorder="1" applyAlignment="1">
      <alignment horizontal="center" vertical="center"/>
    </xf>
    <xf numFmtId="0" fontId="18" fillId="8" borderId="2" xfId="2" applyFont="1" applyFill="1" applyBorder="1" applyAlignment="1">
      <alignment horizontal="center" vertical="center"/>
    </xf>
    <xf numFmtId="0" fontId="18" fillId="8" borderId="2" xfId="2" applyFont="1" applyFill="1" applyBorder="1" applyAlignment="1">
      <alignment horizontal="left" vertical="center"/>
    </xf>
    <xf numFmtId="0" fontId="18" fillId="8" borderId="2" xfId="2" applyFont="1" applyFill="1" applyBorder="1" applyAlignment="1">
      <alignment horizontal="left" vertical="center" wrapText="1"/>
    </xf>
    <xf numFmtId="0" fontId="18" fillId="8" borderId="2" xfId="2" applyFont="1" applyFill="1" applyBorder="1" applyAlignment="1">
      <alignment vertical="center"/>
    </xf>
    <xf numFmtId="0" fontId="13" fillId="8" borderId="0" xfId="2" applyFont="1" applyFill="1" applyAlignment="1">
      <alignment horizontal="left" vertical="center"/>
    </xf>
    <xf numFmtId="0" fontId="13" fillId="8" borderId="0" xfId="2" applyFont="1" applyFill="1" applyAlignment="1">
      <alignment horizontal="left"/>
    </xf>
    <xf numFmtId="0" fontId="13" fillId="8" borderId="0" xfId="2" applyFont="1" applyFill="1" applyAlignment="1">
      <alignment vertical="top"/>
    </xf>
    <xf numFmtId="0" fontId="13" fillId="9" borderId="18" xfId="2" applyFont="1" applyFill="1" applyBorder="1"/>
    <xf numFmtId="0" fontId="13" fillId="9" borderId="0" xfId="2" applyFont="1" applyFill="1"/>
    <xf numFmtId="0" fontId="13" fillId="9" borderId="15" xfId="2" applyFont="1" applyFill="1" applyBorder="1"/>
    <xf numFmtId="0" fontId="22" fillId="10" borderId="0" xfId="2" applyFont="1" applyFill="1"/>
    <xf numFmtId="14" fontId="23" fillId="0" borderId="0" xfId="2" applyNumberFormat="1" applyFont="1" applyAlignment="1">
      <alignment horizontal="center" vertical="center"/>
    </xf>
    <xf numFmtId="0" fontId="24" fillId="11" borderId="2" xfId="0" applyFont="1" applyFill="1" applyBorder="1" applyAlignment="1">
      <alignment horizontal="center" vertical="center"/>
    </xf>
    <xf numFmtId="0" fontId="25" fillId="0" borderId="0" xfId="2" applyFont="1"/>
    <xf numFmtId="0" fontId="23" fillId="0" borderId="0" xfId="2" applyFont="1" applyAlignment="1">
      <alignment horizontal="center"/>
    </xf>
    <xf numFmtId="0" fontId="23" fillId="0" borderId="0" xfId="2" applyFont="1" applyAlignment="1">
      <alignment vertical="center" wrapText="1"/>
    </xf>
    <xf numFmtId="0" fontId="24" fillId="11" borderId="2" xfId="0" applyFont="1" applyFill="1" applyBorder="1" applyAlignment="1">
      <alignment horizontal="left" vertical="center" wrapText="1"/>
    </xf>
    <xf numFmtId="0" fontId="18" fillId="0" borderId="2" xfId="2" applyFont="1" applyBorder="1" applyAlignment="1">
      <alignment horizontal="left" vertical="top" wrapText="1"/>
    </xf>
    <xf numFmtId="0" fontId="25" fillId="0" borderId="0" xfId="2" applyFont="1" applyAlignment="1">
      <alignment horizontal="center" vertical="center"/>
    </xf>
    <xf numFmtId="0" fontId="18" fillId="0" borderId="2" xfId="2" applyFont="1" applyBorder="1" applyAlignment="1">
      <alignment horizontal="left" vertical="center" wrapText="1"/>
    </xf>
    <xf numFmtId="0" fontId="23" fillId="0" borderId="0" xfId="2" applyFont="1" applyAlignment="1">
      <alignment horizontal="center" vertical="center"/>
    </xf>
    <xf numFmtId="0" fontId="25" fillId="0" borderId="24" xfId="2" applyFont="1" applyBorder="1" applyAlignment="1">
      <alignment horizontal="left" vertical="center" wrapText="1" indent="1"/>
    </xf>
    <xf numFmtId="0" fontId="24" fillId="11" borderId="2" xfId="0" applyFont="1" applyFill="1" applyBorder="1" applyAlignment="1">
      <alignment horizontal="left" vertical="center"/>
    </xf>
    <xf numFmtId="0" fontId="18" fillId="13" borderId="2" xfId="0" applyFont="1" applyFill="1" applyBorder="1" applyAlignment="1">
      <alignment vertical="center" wrapText="1"/>
    </xf>
    <xf numFmtId="0" fontId="25" fillId="0" borderId="0" xfId="2" applyFont="1" applyAlignment="1">
      <alignment horizontal="left" vertical="center" wrapText="1" indent="1"/>
    </xf>
    <xf numFmtId="15" fontId="25" fillId="0" borderId="0" xfId="2" applyNumberFormat="1" applyFont="1" applyAlignment="1">
      <alignment horizontal="left" vertical="center" wrapText="1" indent="1"/>
    </xf>
    <xf numFmtId="0" fontId="24" fillId="14" borderId="0" xfId="0" applyFont="1" applyFill="1" applyAlignment="1">
      <alignment horizontal="left" vertical="center"/>
    </xf>
    <xf numFmtId="0" fontId="18" fillId="13" borderId="0" xfId="0" applyFont="1" applyFill="1" applyAlignment="1">
      <alignment vertical="center" wrapText="1"/>
    </xf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18" fillId="0" borderId="0" xfId="0" applyFont="1" applyAlignment="1">
      <alignment vertical="center" wrapText="1"/>
    </xf>
    <xf numFmtId="0" fontId="25" fillId="0" borderId="25" xfId="2" applyFont="1" applyBorder="1" applyAlignment="1">
      <alignment horizontal="left" vertical="center" wrapText="1" indent="1"/>
    </xf>
    <xf numFmtId="0" fontId="15" fillId="0" borderId="0" xfId="3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 wrapText="1"/>
    </xf>
    <xf numFmtId="0" fontId="12" fillId="0" borderId="16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29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12" fillId="15" borderId="0" xfId="0" applyFont="1" applyFill="1" applyAlignment="1">
      <alignment horizontal="center" vertical="center" wrapText="1"/>
    </xf>
    <xf numFmtId="0" fontId="12" fillId="0" borderId="2" xfId="0" applyFont="1" applyBorder="1" applyAlignment="1">
      <alignment horizontal="left" vertical="top" wrapText="1"/>
    </xf>
    <xf numFmtId="0" fontId="12" fillId="19" borderId="2" xfId="0" applyFont="1" applyFill="1" applyBorder="1" applyAlignment="1">
      <alignment horizontal="center" vertical="center"/>
    </xf>
    <xf numFmtId="0" fontId="12" fillId="16" borderId="2" xfId="0" applyFont="1" applyFill="1" applyBorder="1" applyAlignment="1">
      <alignment horizontal="center" vertical="center"/>
    </xf>
    <xf numFmtId="0" fontId="12" fillId="20" borderId="2" xfId="0" applyFont="1" applyFill="1" applyBorder="1" applyAlignment="1">
      <alignment horizontal="center" vertical="center"/>
    </xf>
    <xf numFmtId="0" fontId="12" fillId="21" borderId="2" xfId="0" applyFont="1" applyFill="1" applyBorder="1" applyAlignment="1">
      <alignment horizontal="center" vertical="center"/>
    </xf>
    <xf numFmtId="0" fontId="28" fillId="0" borderId="0" xfId="0" applyFont="1"/>
    <xf numFmtId="0" fontId="28" fillId="0" borderId="0" xfId="0" applyFont="1" applyAlignment="1">
      <alignment wrapText="1"/>
    </xf>
    <xf numFmtId="0" fontId="28" fillId="0" borderId="0" xfId="0" applyFont="1" applyAlignment="1">
      <alignment horizontal="center" wrapText="1"/>
    </xf>
    <xf numFmtId="0" fontId="30" fillId="2" borderId="2" xfId="0" applyFont="1" applyFill="1" applyBorder="1" applyAlignment="1">
      <alignment horizontal="center" vertical="center" wrapText="1"/>
    </xf>
    <xf numFmtId="0" fontId="31" fillId="0" borderId="0" xfId="0" applyFont="1" applyAlignment="1">
      <alignment vertical="center" wrapText="1"/>
    </xf>
    <xf numFmtId="0" fontId="31" fillId="2" borderId="2" xfId="0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vertical="center" wrapText="1"/>
    </xf>
    <xf numFmtId="0" fontId="32" fillId="0" borderId="3" xfId="0" applyFont="1" applyBorder="1" applyAlignment="1">
      <alignment vertical="center" wrapText="1"/>
    </xf>
    <xf numFmtId="0" fontId="32" fillId="0" borderId="9" xfId="0" applyFont="1" applyBorder="1" applyAlignment="1">
      <alignment vertical="center" wrapText="1"/>
    </xf>
    <xf numFmtId="0" fontId="32" fillId="0" borderId="8" xfId="0" applyFont="1" applyBorder="1" applyAlignment="1">
      <alignment horizontal="left" vertical="center" wrapText="1"/>
    </xf>
    <xf numFmtId="0" fontId="32" fillId="0" borderId="7" xfId="0" applyFont="1" applyBorder="1" applyAlignment="1">
      <alignment horizontal="center" vertical="center" wrapText="1"/>
    </xf>
    <xf numFmtId="0" fontId="32" fillId="0" borderId="2" xfId="0" applyFont="1" applyBorder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0" fontId="15" fillId="0" borderId="0" xfId="2" applyFont="1" applyAlignment="1">
      <alignment vertical="center"/>
    </xf>
    <xf numFmtId="0" fontId="20" fillId="0" borderId="0" xfId="2" applyFont="1" applyAlignment="1">
      <alignment vertical="center"/>
    </xf>
    <xf numFmtId="0" fontId="15" fillId="0" borderId="0" xfId="2" applyFont="1" applyAlignment="1">
      <alignment vertical="center" wrapText="1"/>
    </xf>
    <xf numFmtId="9" fontId="32" fillId="0" borderId="31" xfId="6" applyFont="1" applyBorder="1" applyAlignment="1">
      <alignment horizontal="center" vertical="center" wrapText="1"/>
    </xf>
    <xf numFmtId="0" fontId="32" fillId="0" borderId="32" xfId="0" applyFont="1" applyBorder="1" applyAlignment="1">
      <alignment horizontal="center" vertical="center" wrapText="1"/>
    </xf>
    <xf numFmtId="0" fontId="11" fillId="12" borderId="2" xfId="0" applyFont="1" applyFill="1" applyBorder="1" applyAlignment="1">
      <alignment horizontal="center" vertical="center" wrapText="1"/>
    </xf>
    <xf numFmtId="0" fontId="38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 wrapText="1"/>
    </xf>
    <xf numFmtId="0" fontId="37" fillId="12" borderId="2" xfId="0" applyFont="1" applyFill="1" applyBorder="1" applyAlignment="1">
      <alignment horizontal="center" vertical="center"/>
    </xf>
    <xf numFmtId="0" fontId="27" fillId="19" borderId="2" xfId="0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27" fillId="20" borderId="2" xfId="0" applyFont="1" applyFill="1" applyBorder="1" applyAlignment="1">
      <alignment horizontal="center" vertical="center"/>
    </xf>
    <xf numFmtId="0" fontId="27" fillId="21" borderId="2" xfId="0" applyFont="1" applyFill="1" applyBorder="1" applyAlignment="1">
      <alignment horizontal="center" vertical="center"/>
    </xf>
    <xf numFmtId="0" fontId="15" fillId="0" borderId="0" xfId="3" applyFont="1" applyAlignment="1">
      <alignment horizontal="left" vertical="top"/>
    </xf>
    <xf numFmtId="0" fontId="18" fillId="8" borderId="2" xfId="3" applyFont="1" applyFill="1" applyBorder="1" applyAlignment="1">
      <alignment horizontal="left" vertical="top" wrapText="1"/>
    </xf>
    <xf numFmtId="0" fontId="20" fillId="12" borderId="2" xfId="0" applyFont="1" applyFill="1" applyBorder="1" applyAlignment="1">
      <alignment horizontal="center" vertical="center" wrapText="1"/>
    </xf>
    <xf numFmtId="0" fontId="15" fillId="0" borderId="0" xfId="3" applyFont="1" applyAlignment="1">
      <alignment horizontal="center" vertical="center"/>
    </xf>
    <xf numFmtId="0" fontId="37" fillId="12" borderId="26" xfId="0" applyFont="1" applyFill="1" applyBorder="1" applyAlignment="1">
      <alignment horizontal="center" vertical="center" wrapText="1"/>
    </xf>
    <xf numFmtId="0" fontId="18" fillId="0" borderId="2" xfId="2" applyFont="1" applyBorder="1" applyAlignment="1">
      <alignment horizontal="left" vertical="center"/>
    </xf>
    <xf numFmtId="0" fontId="12" fillId="0" borderId="0" xfId="0" applyFont="1" applyAlignment="1">
      <alignment horizontal="right" vertical="center"/>
    </xf>
    <xf numFmtId="0" fontId="32" fillId="2" borderId="31" xfId="0" applyFont="1" applyFill="1" applyBorder="1" applyAlignment="1">
      <alignment horizontal="center" vertical="center" wrapText="1"/>
    </xf>
    <xf numFmtId="0" fontId="32" fillId="2" borderId="7" xfId="0" applyFont="1" applyFill="1" applyBorder="1" applyAlignment="1">
      <alignment horizontal="center" vertical="center" wrapText="1"/>
    </xf>
    <xf numFmtId="1" fontId="32" fillId="2" borderId="7" xfId="0" applyNumberFormat="1" applyFont="1" applyFill="1" applyBorder="1" applyAlignment="1">
      <alignment horizontal="center" vertical="center" wrapText="1"/>
    </xf>
    <xf numFmtId="0" fontId="32" fillId="2" borderId="8" xfId="0" applyFont="1" applyFill="1" applyBorder="1" applyAlignment="1">
      <alignment horizontal="center" vertical="center" wrapText="1"/>
    </xf>
    <xf numFmtId="0" fontId="32" fillId="2" borderId="2" xfId="0" applyFont="1" applyFill="1" applyBorder="1" applyAlignment="1">
      <alignment horizontal="center" vertical="center" wrapText="1"/>
    </xf>
    <xf numFmtId="0" fontId="20" fillId="0" borderId="0" xfId="2" applyFont="1" applyAlignment="1">
      <alignment vertical="center" wrapText="1"/>
    </xf>
    <xf numFmtId="0" fontId="20" fillId="0" borderId="0" xfId="2" applyFont="1" applyAlignment="1">
      <alignment horizontal="right" vertical="center" wrapText="1"/>
    </xf>
    <xf numFmtId="0" fontId="22" fillId="0" borderId="0" xfId="2" applyFont="1" applyAlignment="1">
      <alignment vertical="center"/>
    </xf>
    <xf numFmtId="0" fontId="20" fillId="0" borderId="0" xfId="2" applyFont="1" applyAlignment="1">
      <alignment horizontal="center" vertical="center"/>
    </xf>
    <xf numFmtId="0" fontId="22" fillId="12" borderId="0" xfId="2" applyFont="1" applyFill="1" applyAlignment="1">
      <alignment horizontal="center" vertical="center"/>
    </xf>
    <xf numFmtId="0" fontId="20" fillId="12" borderId="0" xfId="2" applyFont="1" applyFill="1" applyAlignment="1">
      <alignment horizontal="center" vertical="center"/>
    </xf>
    <xf numFmtId="0" fontId="28" fillId="0" borderId="0" xfId="2" applyFont="1" applyAlignment="1">
      <alignment horizontal="center" vertical="center" wrapText="1"/>
    </xf>
    <xf numFmtId="0" fontId="28" fillId="0" borderId="0" xfId="2" applyFont="1" applyAlignment="1">
      <alignment horizontal="left" vertical="center" wrapText="1"/>
    </xf>
    <xf numFmtId="2" fontId="28" fillId="0" borderId="0" xfId="2" applyNumberFormat="1" applyFont="1" applyAlignment="1">
      <alignment horizontal="center" vertical="center" wrapText="1"/>
    </xf>
    <xf numFmtId="0" fontId="28" fillId="0" borderId="0" xfId="2" applyFont="1" applyAlignment="1">
      <alignment vertical="center" wrapText="1"/>
    </xf>
    <xf numFmtId="0" fontId="40" fillId="0" borderId="0" xfId="0" applyFont="1" applyAlignment="1">
      <alignment vertical="top"/>
    </xf>
    <xf numFmtId="0" fontId="26" fillId="0" borderId="0" xfId="0" applyFont="1" applyAlignment="1">
      <alignment horizontal="center" vertical="center" wrapText="1"/>
    </xf>
    <xf numFmtId="0" fontId="18" fillId="0" borderId="2" xfId="0" applyFont="1" applyBorder="1" applyAlignment="1">
      <alignment horizontal="left" vertical="top" wrapText="1"/>
    </xf>
    <xf numFmtId="0" fontId="37" fillId="12" borderId="26" xfId="0" applyFont="1" applyFill="1" applyBorder="1" applyAlignment="1">
      <alignment horizontal="center" vertical="center"/>
    </xf>
    <xf numFmtId="0" fontId="38" fillId="0" borderId="0" xfId="0" applyFont="1" applyAlignment="1">
      <alignment vertical="center"/>
    </xf>
    <xf numFmtId="0" fontId="32" fillId="2" borderId="31" xfId="0" applyFont="1" applyFill="1" applyBorder="1" applyAlignment="1">
      <alignment vertical="center"/>
    </xf>
    <xf numFmtId="0" fontId="20" fillId="12" borderId="2" xfId="7" applyFont="1" applyFill="1" applyBorder="1" applyAlignment="1">
      <alignment horizontal="center" vertical="center" wrapText="1"/>
    </xf>
    <xf numFmtId="0" fontId="11" fillId="12" borderId="26" xfId="0" applyFont="1" applyFill="1" applyBorder="1" applyAlignment="1">
      <alignment horizontal="center" vertical="center" wrapText="1"/>
    </xf>
    <xf numFmtId="0" fontId="18" fillId="0" borderId="26" xfId="3" applyFont="1" applyBorder="1" applyAlignment="1">
      <alignment horizontal="left" vertical="top" wrapText="1"/>
    </xf>
    <xf numFmtId="0" fontId="12" fillId="8" borderId="2" xfId="2" applyFont="1" applyFill="1" applyBorder="1" applyAlignment="1">
      <alignment horizontal="left" vertical="center" wrapText="1"/>
    </xf>
    <xf numFmtId="0" fontId="22" fillId="12" borderId="2" xfId="7" applyFont="1" applyFill="1" applyBorder="1" applyAlignment="1">
      <alignment horizontal="center" vertical="center" wrapText="1"/>
    </xf>
    <xf numFmtId="0" fontId="20" fillId="0" borderId="0" xfId="2" applyFont="1" applyAlignment="1">
      <alignment horizontal="center" vertical="center" wrapText="1"/>
    </xf>
    <xf numFmtId="0" fontId="22" fillId="0" borderId="0" xfId="2" applyFont="1" applyAlignment="1">
      <alignment horizontal="center" vertical="center"/>
    </xf>
    <xf numFmtId="0" fontId="25" fillId="0" borderId="0" xfId="2" applyFont="1" applyAlignment="1">
      <alignment horizontal="center"/>
    </xf>
    <xf numFmtId="0" fontId="26" fillId="12" borderId="4" xfId="0" applyFont="1" applyFill="1" applyBorder="1" applyAlignment="1">
      <alignment horizontal="center" vertical="center"/>
    </xf>
    <xf numFmtId="0" fontId="26" fillId="12" borderId="5" xfId="0" applyFont="1" applyFill="1" applyBorder="1" applyAlignment="1">
      <alignment horizontal="center" vertical="center"/>
    </xf>
    <xf numFmtId="0" fontId="26" fillId="12" borderId="5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26" fillId="12" borderId="37" xfId="0" applyFont="1" applyFill="1" applyBorder="1" applyAlignment="1">
      <alignment horizontal="center" vertical="center" wrapText="1"/>
    </xf>
    <xf numFmtId="0" fontId="26" fillId="12" borderId="6" xfId="0" applyFont="1" applyFill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7" fillId="12" borderId="2" xfId="0" applyFont="1" applyFill="1" applyBorder="1" applyAlignment="1">
      <alignment horizontal="center" vertical="center" wrapText="1"/>
    </xf>
    <xf numFmtId="9" fontId="32" fillId="2" borderId="7" xfId="6" applyFont="1" applyFill="1" applyBorder="1" applyAlignment="1">
      <alignment horizontal="center" vertical="center" wrapText="1"/>
    </xf>
    <xf numFmtId="0" fontId="22" fillId="2" borderId="0" xfId="2" applyFont="1" applyFill="1" applyAlignment="1">
      <alignment horizontal="center" vertical="center" wrapText="1"/>
    </xf>
    <xf numFmtId="0" fontId="18" fillId="0" borderId="7" xfId="2" applyFont="1" applyBorder="1" applyAlignment="1">
      <alignment vertical="center"/>
    </xf>
    <xf numFmtId="0" fontId="18" fillId="0" borderId="3" xfId="2" applyFont="1" applyBorder="1" applyAlignment="1">
      <alignment vertical="center"/>
    </xf>
    <xf numFmtId="0" fontId="18" fillId="0" borderId="3" xfId="2" applyFont="1" applyBorder="1" applyAlignment="1">
      <alignment vertical="center" wrapText="1"/>
    </xf>
    <xf numFmtId="9" fontId="18" fillId="0" borderId="3" xfId="5" applyFont="1" applyBorder="1" applyAlignment="1">
      <alignment vertical="top" wrapText="1"/>
    </xf>
    <xf numFmtId="0" fontId="18" fillId="0" borderId="3" xfId="2" applyFont="1" applyBorder="1" applyAlignment="1">
      <alignment horizontal="left" vertical="top" wrapText="1"/>
    </xf>
    <xf numFmtId="0" fontId="18" fillId="0" borderId="9" xfId="2" applyFont="1" applyBorder="1" applyAlignment="1">
      <alignment vertical="center"/>
    </xf>
    <xf numFmtId="0" fontId="18" fillId="0" borderId="8" xfId="2" applyFont="1" applyBorder="1" applyAlignment="1">
      <alignment vertical="center"/>
    </xf>
    <xf numFmtId="0" fontId="18" fillId="0" borderId="2" xfId="2" applyFont="1" applyBorder="1" applyAlignment="1">
      <alignment vertical="center"/>
    </xf>
    <xf numFmtId="0" fontId="18" fillId="0" borderId="2" xfId="2" applyFont="1" applyBorder="1" applyAlignment="1">
      <alignment vertical="center" wrapText="1"/>
    </xf>
    <xf numFmtId="9" fontId="18" fillId="0" borderId="2" xfId="5" applyFont="1" applyBorder="1" applyAlignment="1">
      <alignment vertical="top" wrapText="1"/>
    </xf>
    <xf numFmtId="0" fontId="18" fillId="0" borderId="10" xfId="2" applyFont="1" applyBorder="1" applyAlignment="1">
      <alignment vertical="center"/>
    </xf>
    <xf numFmtId="9" fontId="18" fillId="0" borderId="2" xfId="5" applyFont="1" applyBorder="1" applyAlignment="1">
      <alignment horizontal="center" vertical="center"/>
    </xf>
    <xf numFmtId="0" fontId="18" fillId="0" borderId="34" xfId="2" applyFont="1" applyBorder="1" applyAlignment="1">
      <alignment vertical="center"/>
    </xf>
    <xf numFmtId="0" fontId="18" fillId="0" borderId="26" xfId="2" applyFont="1" applyBorder="1" applyAlignment="1">
      <alignment vertical="center"/>
    </xf>
    <xf numFmtId="9" fontId="18" fillId="0" borderId="26" xfId="5" applyFont="1" applyBorder="1" applyAlignment="1">
      <alignment horizontal="center" vertical="center"/>
    </xf>
    <xf numFmtId="0" fontId="18" fillId="0" borderId="33" xfId="2" applyFont="1" applyBorder="1" applyAlignment="1">
      <alignment vertical="center"/>
    </xf>
    <xf numFmtId="0" fontId="28" fillId="0" borderId="0" xfId="0" applyFont="1" applyAlignment="1">
      <alignment horizontal="center" vertical="center"/>
    </xf>
    <xf numFmtId="0" fontId="15" fillId="0" borderId="0" xfId="0" applyFont="1" applyAlignment="1">
      <alignment vertical="top" wrapText="1"/>
    </xf>
    <xf numFmtId="9" fontId="32" fillId="0" borderId="7" xfId="6" applyFont="1" applyFill="1" applyBorder="1" applyAlignment="1">
      <alignment horizontal="center" vertical="center" wrapText="1"/>
    </xf>
    <xf numFmtId="9" fontId="18" fillId="0" borderId="2" xfId="6" applyFont="1" applyBorder="1" applyAlignment="1">
      <alignment horizontal="center" vertical="center" wrapText="1"/>
    </xf>
    <xf numFmtId="9" fontId="12" fillId="0" borderId="2" xfId="6" applyFont="1" applyBorder="1" applyAlignment="1">
      <alignment horizontal="center" vertical="center"/>
    </xf>
    <xf numFmtId="0" fontId="32" fillId="0" borderId="7" xfId="0" applyFont="1" applyBorder="1" applyAlignment="1">
      <alignment horizontal="left" vertical="center" wrapText="1"/>
    </xf>
    <xf numFmtId="0" fontId="28" fillId="24" borderId="0" xfId="2" applyFont="1" applyFill="1" applyAlignment="1">
      <alignment horizontal="center" vertical="center" wrapText="1"/>
    </xf>
    <xf numFmtId="0" fontId="28" fillId="24" borderId="0" xfId="0" applyFont="1" applyFill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43" fillId="0" borderId="0" xfId="2" applyFont="1" applyAlignment="1">
      <alignment horizontal="left" vertical="center" wrapText="1"/>
    </xf>
    <xf numFmtId="0" fontId="44" fillId="25" borderId="38" xfId="0" applyFont="1" applyFill="1" applyBorder="1" applyAlignment="1">
      <alignment horizontal="center" vertical="center" wrapText="1"/>
    </xf>
    <xf numFmtId="0" fontId="45" fillId="2" borderId="2" xfId="0" applyFont="1" applyFill="1" applyBorder="1" applyAlignment="1">
      <alignment horizontal="center" vertical="center" wrapText="1"/>
    </xf>
    <xf numFmtId="0" fontId="46" fillId="0" borderId="7" xfId="0" applyFont="1" applyBorder="1" applyAlignment="1">
      <alignment horizontal="left" vertical="center" wrapText="1"/>
    </xf>
    <xf numFmtId="17" fontId="18" fillId="0" borderId="3" xfId="2" applyNumberFormat="1" applyFont="1" applyBorder="1" applyAlignment="1">
      <alignment vertical="center"/>
    </xf>
    <xf numFmtId="17" fontId="18" fillId="0" borderId="2" xfId="2" applyNumberFormat="1" applyFont="1" applyBorder="1" applyAlignment="1">
      <alignment vertical="center"/>
    </xf>
    <xf numFmtId="0" fontId="18" fillId="0" borderId="2" xfId="3" applyFont="1" applyBorder="1" applyAlignment="1">
      <alignment horizontal="left" vertical="center" wrapText="1"/>
    </xf>
    <xf numFmtId="0" fontId="18" fillId="0" borderId="2" xfId="3" applyFont="1" applyBorder="1" applyAlignment="1">
      <alignment horizontal="left" vertical="center"/>
    </xf>
    <xf numFmtId="0" fontId="16" fillId="8" borderId="0" xfId="2" applyFont="1" applyFill="1" applyAlignment="1">
      <alignment horizontal="center" vertical="center"/>
    </xf>
    <xf numFmtId="0" fontId="19" fillId="8" borderId="0" xfId="2" applyFont="1" applyFill="1" applyAlignment="1">
      <alignment horizontal="left" vertical="center" wrapText="1"/>
    </xf>
    <xf numFmtId="0" fontId="15" fillId="8" borderId="0" xfId="2" applyFont="1" applyFill="1" applyAlignment="1">
      <alignment horizontal="left" vertical="center"/>
    </xf>
    <xf numFmtId="0" fontId="15" fillId="8" borderId="11" xfId="2" applyFont="1" applyFill="1" applyBorder="1" applyAlignment="1">
      <alignment horizontal="left" vertical="center"/>
    </xf>
    <xf numFmtId="0" fontId="20" fillId="12" borderId="10" xfId="2" applyFont="1" applyFill="1" applyBorder="1" applyAlignment="1">
      <alignment horizontal="center" vertical="center" wrapText="1"/>
    </xf>
    <xf numFmtId="0" fontId="20" fillId="12" borderId="8" xfId="2" applyFont="1" applyFill="1" applyBorder="1" applyAlignment="1">
      <alignment horizontal="center" vertical="center" wrapText="1"/>
    </xf>
    <xf numFmtId="0" fontId="18" fillId="8" borderId="2" xfId="2" applyFont="1" applyFill="1" applyBorder="1" applyAlignment="1">
      <alignment horizontal="left" vertical="center"/>
    </xf>
    <xf numFmtId="0" fontId="20" fillId="12" borderId="2" xfId="3" applyFont="1" applyFill="1" applyBorder="1" applyAlignment="1">
      <alignment horizontal="center" vertical="center"/>
    </xf>
    <xf numFmtId="0" fontId="18" fillId="8" borderId="2" xfId="2" applyFont="1" applyFill="1" applyBorder="1" applyAlignment="1">
      <alignment horizontal="left" vertical="center" wrapText="1"/>
    </xf>
    <xf numFmtId="0" fontId="12" fillId="0" borderId="2" xfId="3" applyFont="1" applyBorder="1" applyAlignment="1">
      <alignment horizontal="left" vertical="center" wrapText="1"/>
    </xf>
    <xf numFmtId="0" fontId="21" fillId="12" borderId="18" xfId="2" applyFont="1" applyFill="1" applyBorder="1" applyAlignment="1">
      <alignment horizontal="center" vertical="center" wrapText="1"/>
    </xf>
    <xf numFmtId="0" fontId="21" fillId="12" borderId="0" xfId="2" applyFont="1" applyFill="1" applyAlignment="1">
      <alignment horizontal="center" vertical="center" wrapText="1"/>
    </xf>
    <xf numFmtId="0" fontId="21" fillId="12" borderId="15" xfId="2" applyFont="1" applyFill="1" applyBorder="1" applyAlignment="1">
      <alignment horizontal="center" vertical="center" wrapText="1"/>
    </xf>
    <xf numFmtId="0" fontId="21" fillId="12" borderId="22" xfId="2" applyFont="1" applyFill="1" applyBorder="1" applyAlignment="1">
      <alignment horizontal="center" vertical="center" wrapText="1"/>
    </xf>
    <xf numFmtId="0" fontId="21" fillId="12" borderId="19" xfId="2" applyFont="1" applyFill="1" applyBorder="1" applyAlignment="1">
      <alignment horizontal="center" vertical="center" wrapText="1"/>
    </xf>
    <xf numFmtId="0" fontId="21" fillId="12" borderId="23" xfId="2" applyFont="1" applyFill="1" applyBorder="1" applyAlignment="1">
      <alignment horizontal="center" vertical="center" wrapText="1"/>
    </xf>
    <xf numFmtId="0" fontId="20" fillId="12" borderId="2" xfId="2" applyFont="1" applyFill="1" applyBorder="1" applyAlignment="1">
      <alignment horizontal="left" vertical="center"/>
    </xf>
    <xf numFmtId="0" fontId="12" fillId="0" borderId="2" xfId="2" applyFont="1" applyBorder="1" applyAlignment="1">
      <alignment horizontal="left" vertical="top" wrapText="1"/>
    </xf>
    <xf numFmtId="0" fontId="27" fillId="0" borderId="0" xfId="2" applyFont="1" applyAlignment="1">
      <alignment horizontal="left" vertical="center" wrapText="1"/>
    </xf>
    <xf numFmtId="0" fontId="27" fillId="0" borderId="0" xfId="2" applyFont="1" applyAlignment="1">
      <alignment horizontal="left" vertical="center"/>
    </xf>
    <xf numFmtId="0" fontId="20" fillId="12" borderId="2" xfId="7" applyFont="1" applyFill="1" applyBorder="1" applyAlignment="1">
      <alignment horizontal="center" vertical="center" wrapText="1"/>
    </xf>
    <xf numFmtId="0" fontId="20" fillId="12" borderId="2" xfId="0" applyFont="1" applyFill="1" applyBorder="1" applyAlignment="1">
      <alignment horizontal="center" vertical="center" wrapText="1"/>
    </xf>
    <xf numFmtId="0" fontId="26" fillId="12" borderId="2" xfId="0" applyFont="1" applyFill="1" applyBorder="1" applyAlignment="1">
      <alignment horizontal="center" vertical="center" wrapText="1"/>
    </xf>
    <xf numFmtId="0" fontId="26" fillId="12" borderId="26" xfId="0" applyFont="1" applyFill="1" applyBorder="1" applyAlignment="1">
      <alignment horizontal="center" vertical="center" wrapText="1"/>
    </xf>
    <xf numFmtId="0" fontId="20" fillId="12" borderId="2" xfId="2" applyFont="1" applyFill="1" applyBorder="1" applyAlignment="1">
      <alignment horizontal="center" vertical="center"/>
    </xf>
    <xf numFmtId="0" fontId="38" fillId="12" borderId="11" xfId="0" applyFont="1" applyFill="1" applyBorder="1" applyAlignment="1">
      <alignment horizontal="center" vertical="center"/>
    </xf>
    <xf numFmtId="0" fontId="37" fillId="12" borderId="28" xfId="0" applyFont="1" applyFill="1" applyBorder="1" applyAlignment="1">
      <alignment horizontal="center" vertical="center"/>
    </xf>
    <xf numFmtId="0" fontId="37" fillId="12" borderId="20" xfId="0" applyFont="1" applyFill="1" applyBorder="1" applyAlignment="1">
      <alignment horizontal="center" vertical="center"/>
    </xf>
    <xf numFmtId="0" fontId="37" fillId="12" borderId="35" xfId="0" applyFont="1" applyFill="1" applyBorder="1" applyAlignment="1">
      <alignment horizontal="center" vertical="center"/>
    </xf>
    <xf numFmtId="0" fontId="37" fillId="12" borderId="2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top"/>
    </xf>
    <xf numFmtId="0" fontId="14" fillId="0" borderId="0" xfId="0" applyFont="1" applyAlignment="1">
      <alignment horizontal="right" vertical="center" textRotation="90" wrapText="1"/>
    </xf>
    <xf numFmtId="0" fontId="14" fillId="0" borderId="0" xfId="0" applyFont="1" applyAlignment="1">
      <alignment horizontal="right" vertical="center" textRotation="90"/>
    </xf>
    <xf numFmtId="0" fontId="38" fillId="12" borderId="0" xfId="0" applyFont="1" applyFill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12" fillId="0" borderId="26" xfId="0" applyFont="1" applyBorder="1" applyAlignment="1">
      <alignment horizontal="left" vertical="top" wrapText="1"/>
    </xf>
    <xf numFmtId="0" fontId="12" fillId="0" borderId="27" xfId="0" applyFont="1" applyBorder="1" applyAlignment="1">
      <alignment horizontal="left" vertical="top" wrapText="1"/>
    </xf>
    <xf numFmtId="0" fontId="12" fillId="0" borderId="3" xfId="0" applyFont="1" applyBorder="1" applyAlignment="1">
      <alignment horizontal="left" vertical="top" wrapText="1"/>
    </xf>
    <xf numFmtId="0" fontId="28" fillId="0" borderId="0" xfId="0" applyFont="1" applyAlignment="1">
      <alignment horizontal="center" wrapText="1"/>
    </xf>
    <xf numFmtId="0" fontId="30" fillId="2" borderId="33" xfId="0" applyFont="1" applyFill="1" applyBorder="1" applyAlignment="1">
      <alignment horizontal="center" vertical="center" wrapText="1"/>
    </xf>
    <xf numFmtId="0" fontId="30" fillId="17" borderId="33" xfId="0" applyFont="1" applyFill="1" applyBorder="1" applyAlignment="1">
      <alignment horizontal="center" vertical="center" wrapText="1"/>
    </xf>
    <xf numFmtId="0" fontId="30" fillId="23" borderId="33" xfId="0" applyFont="1" applyFill="1" applyBorder="1" applyAlignment="1">
      <alignment horizontal="center" vertical="center" wrapText="1"/>
    </xf>
    <xf numFmtId="0" fontId="30" fillId="18" borderId="33" xfId="0" applyFont="1" applyFill="1" applyBorder="1" applyAlignment="1">
      <alignment horizontal="center" vertical="center" wrapText="1"/>
    </xf>
    <xf numFmtId="0" fontId="30" fillId="18" borderId="30" xfId="0" applyFont="1" applyFill="1" applyBorder="1" applyAlignment="1">
      <alignment horizontal="center" vertical="center" wrapText="1"/>
    </xf>
    <xf numFmtId="0" fontId="30" fillId="18" borderId="34" xfId="0" applyFont="1" applyFill="1" applyBorder="1" applyAlignment="1">
      <alignment horizontal="center" vertical="center" wrapText="1"/>
    </xf>
    <xf numFmtId="0" fontId="30" fillId="18" borderId="9" xfId="0" applyFont="1" applyFill="1" applyBorder="1" applyAlignment="1">
      <alignment horizontal="center" vertical="center" wrapText="1"/>
    </xf>
    <xf numFmtId="0" fontId="30" fillId="18" borderId="11" xfId="0" applyFont="1" applyFill="1" applyBorder="1" applyAlignment="1">
      <alignment horizontal="center" vertical="center" wrapText="1"/>
    </xf>
    <xf numFmtId="0" fontId="30" fillId="18" borderId="7" xfId="0" applyFont="1" applyFill="1" applyBorder="1" applyAlignment="1">
      <alignment horizontal="center" vertical="center" wrapText="1"/>
    </xf>
    <xf numFmtId="0" fontId="30" fillId="2" borderId="26" xfId="0" applyFont="1" applyFill="1" applyBorder="1" applyAlignment="1">
      <alignment horizontal="center" vertical="center" wrapText="1"/>
    </xf>
    <xf numFmtId="0" fontId="30" fillId="2" borderId="3" xfId="0" applyFont="1" applyFill="1" applyBorder="1" applyAlignment="1">
      <alignment horizontal="center" vertical="center" wrapText="1"/>
    </xf>
    <xf numFmtId="0" fontId="20" fillId="22" borderId="0" xfId="2" applyFont="1" applyFill="1" applyAlignment="1">
      <alignment horizontal="center" vertical="center"/>
    </xf>
    <xf numFmtId="0" fontId="30" fillId="4" borderId="10" xfId="0" applyFont="1" applyFill="1" applyBorder="1" applyAlignment="1">
      <alignment horizontal="center" vertical="center" wrapText="1"/>
    </xf>
    <xf numFmtId="0" fontId="30" fillId="4" borderId="36" xfId="0" applyFont="1" applyFill="1" applyBorder="1" applyAlignment="1">
      <alignment horizontal="center" vertical="center" wrapText="1"/>
    </xf>
    <xf numFmtId="0" fontId="30" fillId="4" borderId="8" xfId="0" applyFont="1" applyFill="1" applyBorder="1" applyAlignment="1">
      <alignment horizontal="center" vertical="center" wrapText="1"/>
    </xf>
  </cellXfs>
  <cellStyles count="9">
    <cellStyle name="Excel Built-in Normal" xfId="1" xr:uid="{00000000-0005-0000-0000-000000000000}"/>
    <cellStyle name="Normal" xfId="0" builtinId="0"/>
    <cellStyle name="Normal 2" xfId="3" xr:uid="{44F9F2DA-47EE-4E09-ABB3-455CAA50A1D9}"/>
    <cellStyle name="Normal 2 2" xfId="2" xr:uid="{8FBF90B7-E7A2-4BB2-AF8E-89F9C9371466}"/>
    <cellStyle name="Normal 3" xfId="8" xr:uid="{056B1A03-F12A-451F-928D-3BDFA51A1162}"/>
    <cellStyle name="Normal 3 2" xfId="4" xr:uid="{EC5751E3-FB91-4EAD-A1D7-9C132DE2F71A}"/>
    <cellStyle name="Normal_SHEET" xfId="7" xr:uid="{9BD5A63D-E129-47B3-82D5-EAEC1D3DD1E4}"/>
    <cellStyle name="Percentagem" xfId="6" builtinId="5"/>
    <cellStyle name="Percentagem 2" xfId="5" xr:uid="{DA2463B7-3931-4FF5-B9EA-E91FE610C4EC}"/>
  </cellStyles>
  <dxfs count="65">
    <dxf>
      <font>
        <color rgb="FF00B050"/>
      </font>
      <fill>
        <patternFill>
          <bgColor theme="9" tint="0.79998168889431442"/>
        </patternFill>
      </fill>
    </dxf>
    <dxf>
      <font>
        <color rgb="FFFFC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rgb="FFFFCCCC"/>
        </patternFill>
      </fill>
    </dxf>
    <dxf>
      <fill>
        <patternFill>
          <bgColor rgb="FFF8AE28"/>
        </patternFill>
      </fill>
    </dxf>
    <dxf>
      <fill>
        <patternFill>
          <bgColor rgb="FFC00000"/>
        </patternFill>
      </fill>
    </dxf>
    <dxf>
      <fill>
        <patternFill>
          <bgColor rgb="FFF8AE28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8AE28"/>
        </patternFill>
      </fill>
    </dxf>
    <dxf>
      <fill>
        <patternFill>
          <bgColor theme="7" tint="0.39994506668294322"/>
        </patternFill>
      </fill>
    </dxf>
    <dxf>
      <fill>
        <patternFill>
          <bgColor rgb="FFC000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8AE28"/>
        </patternFill>
      </fill>
    </dxf>
    <dxf>
      <fill>
        <patternFill>
          <bgColor theme="7" tint="0.39994506668294322"/>
        </patternFill>
      </fill>
    </dxf>
    <dxf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name val="Segoe U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name val="Segoe U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name val="Segoe U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alignment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alignment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alignment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numFmt numFmtId="0" formatCode="General"/>
      <alignment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numFmt numFmtId="0" formatCode="General"/>
      <alignment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egoe UI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rgb="FF009BDE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rgb="FF009BD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0" formatCode="General"/>
      <fill>
        <patternFill patternType="none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0" formatCode="General"/>
      <fill>
        <patternFill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0" formatCode="General"/>
      <fill>
        <patternFill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0" formatCode="General"/>
      <fill>
        <patternFill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rgb="FFFFFF00"/>
        </patternFill>
      </fill>
      <alignment horizontal="center" vertical="center" textRotation="0" wrapText="1" indent="0" justifyLastLine="0" shrinkToFit="0" readingOrder="0"/>
      <protection locked="1" hidden="0"/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egoe UI"/>
        <family val="2"/>
        <scheme val="none"/>
      </font>
      <fill>
        <patternFill patternType="solid">
          <fgColor indexed="64"/>
          <bgColor rgb="FF009BDE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rgb="FF595959"/>
        </left>
        <right style="hair">
          <color rgb="FF595959"/>
        </right>
        <top/>
        <bottom/>
      </border>
    </dxf>
  </dxfs>
  <tableStyles count="0" defaultTableStyle="TableStyleMedium2" defaultPivotStyle="PivotStyleLight16"/>
  <colors>
    <mruColors>
      <color rgb="FFFF9999"/>
      <color rgb="FFFFCCCC"/>
      <color rgb="FFF8AE28"/>
      <color rgb="FF009BDE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B8D5C1-9AE2-4FC0-AD8E-D4BECF7F5D8C}" name="Table13" displayName="Table13" ref="B4:Q99" totalsRowShown="0" headerRowDxfId="64" dataDxfId="63" tableBorderDxfId="62">
  <autoFilter ref="B4:Q99" xr:uid="{241706B1-3AE8-40C3-B7C1-B7AB663E19A5}"/>
  <tableColumns count="16">
    <tableColumn id="1" xr3:uid="{4E573002-5E92-41B9-8DFA-DF8B7A8BE41A}" name="ID" dataDxfId="61"/>
    <tableColumn id="14" xr3:uid="{F74E7F78-42F4-489F-B5CD-742AF2CEBA83}" name="Descrição do ativo" dataDxfId="60" dataCellStyle="Normal 2 2"/>
    <tableColumn id="6" xr3:uid="{9DF9D5C9-5BC4-4C50-91A5-32331DC22DEB}" name="Grupo do Ativo" dataDxfId="59" dataCellStyle="Normal 2 2"/>
    <tableColumn id="13" xr3:uid="{E7DC9846-B851-48DF-B3ED-B620EAB1A099}" name="Categoria" dataDxfId="58" dataCellStyle="Normal 2 2"/>
    <tableColumn id="11" xr3:uid="{EB0FC692-6C86-4C28-9D5F-623BCB95E4DB}" name="Função" dataDxfId="57" dataCellStyle="Normal 2 2"/>
    <tableColumn id="12" xr3:uid="{DD4EEC06-E58F-4E2E-B688-7E587CBF2932}" name="Localização" dataDxfId="56"/>
    <tableColumn id="21" xr3:uid="{BBC58F83-0E1D-4618-804D-3E61C9E98F28}" name="Sistema" dataDxfId="55" dataCellStyle="Normal 2 2"/>
    <tableColumn id="24" xr3:uid="{99814979-2FC0-4282-87B7-21CCCCFB4FC6}" name="Responsável do ativo" dataDxfId="54" dataCellStyle="Normal 2 2"/>
    <tableColumn id="18" xr3:uid="{E85DF0C8-BB83-4790-8398-483C24265CCE}" name="Responsável do grupo" dataDxfId="53" dataCellStyle="Normal 2 2"/>
    <tableColumn id="4" xr3:uid="{5BBC955F-7E2C-4419-88FD-D38009AA6071}" name="Notas" dataDxfId="52" dataCellStyle="Normal 2 2">
      <calculatedColumnFormula>#REF!</calculatedColumnFormula>
    </tableColumn>
    <tableColumn id="9" xr3:uid="{FBAB2320-64B0-43D8-B1F2-270BF79BFC3F}" name="Confidencialidade" dataDxfId="51">
      <calculatedColumnFormula>#REF!</calculatedColumnFormula>
    </tableColumn>
    <tableColumn id="8" xr3:uid="{428A854B-9D21-4F5D-BFAF-3A8BD0278CAC}" name="Integridade" dataDxfId="50">
      <calculatedColumnFormula>#REF!</calculatedColumnFormula>
    </tableColumn>
    <tableColumn id="7" xr3:uid="{E98796E7-43C7-4176-9A24-C933A94F2F91}" name="Disponibilidade" dataDxfId="49">
      <calculatedColumnFormula>#REF!</calculatedColumnFormula>
    </tableColumn>
    <tableColumn id="3" xr3:uid="{242D4ACF-E9A8-4FC9-BC52-3FA97C1BAC86}" name="Impacto Financeiro" dataDxfId="48" dataCellStyle="Normal 2 2">
      <calculatedColumnFormula>#REF!</calculatedColumnFormula>
    </tableColumn>
    <tableColumn id="2" xr3:uid="{1ED84A60-053B-48E1-91D5-AFADE5BDF80B}" name="Relevância para o Negócio" dataDxfId="47" dataCellStyle="Normal 2 2">
      <calculatedColumnFormula>#REF!</calculatedColumnFormula>
    </tableColumn>
    <tableColumn id="10" xr3:uid="{B6AAFFFC-C889-45D0-BFD7-B1C68292437B}" name="Valor do Ativo [0-5]" dataDxfId="46">
      <calculatedColumnFormula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calculatedColumnFormula>
    </tableColumn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0E298B-3F20-47AA-9BCD-0AFBF935CB37}" name="Tabela2" displayName="Tabela2" ref="B3:E60" totalsRowShown="0" headerRowDxfId="45" dataDxfId="43" headerRowBorderDxfId="44">
  <autoFilter ref="B3:E60" xr:uid="{D60E298B-3F20-47AA-9BCD-0AFBF935CB37}"/>
  <tableColumns count="4">
    <tableColumn id="1" xr3:uid="{487B4296-FCCC-40B1-97B7-AA06F832B0D9}" name="Categoria" dataDxfId="42"/>
    <tableColumn id="5" xr3:uid="{DA490141-A297-4471-BADA-EF2A92E7B67C}" name="Descrição" dataDxfId="41"/>
    <tableColumn id="2" xr3:uid="{907894F2-0DF4-4662-946F-3B6F79F2F674}" name="ID. Risco" dataDxfId="40"/>
    <tableColumn id="4" xr3:uid="{7359C011-D794-41BD-AEE6-C60D8167F72E}" name="Type of risk source _x000a_(D = deliberate; A = accidental; E = environmental)" dataDxfId="3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56B66F6-18E4-4112-B1F5-C2EC956E20FA}" name="Tabela5" displayName="Tabela5" ref="F3:M60" totalsRowShown="0" headerRowDxfId="38" dataDxfId="36" headerRowBorderDxfId="37">
  <autoFilter ref="F3:M60" xr:uid="{956B66F6-18E4-4112-B1F5-C2EC956E20FA}"/>
  <tableColumns count="8">
    <tableColumn id="1" xr3:uid="{613F5E05-D0AE-447D-A5EE-E89EBDF07802}" name="Processos (PC)" dataDxfId="35"/>
    <tableColumn id="3" xr3:uid="{D1B87C04-F735-4857-AC6A-4D0D9B5271E9}" name="Informação (IN)" dataDxfId="34"/>
    <tableColumn id="4" xr3:uid="{8CD4BF1C-C82A-4399-B4E0-45C0D959CB07}" name="Hardware (HW)" dataDxfId="33"/>
    <tableColumn id="6" xr3:uid="{EE6FA994-CF1F-499C-ABA0-BE0BCEBA0CFF}" name="Software (SW)" dataDxfId="32"/>
    <tableColumn id="5" xr3:uid="{788C76EA-25AA-491B-8F85-388790618CAD}" name="Ativos de Rede (AR)" dataDxfId="31"/>
    <tableColumn id="7" xr3:uid="{E3FE7A03-0043-40AD-896F-16A01E65F8AB}" name="Recursos Humanos (RH)" dataDxfId="30"/>
    <tableColumn id="8" xr3:uid="{6E0F1ABC-A75C-40F3-B235-2CF844D251B4}" name="Instalações (IT)" dataDxfId="29"/>
    <tableColumn id="2" xr3:uid="{3AE90D94-46A3-49BC-B712-F95D5AD4DCAF}" name="Organização (OR)" dataDxfId="28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4C4FCC-D870-4DCC-AD11-A9AEDECD38FC}" name="Tabela4" displayName="Tabela4" ref="B3:K399" totalsRowShown="0" headerRowDxfId="27" dataDxfId="26">
  <autoFilter ref="B3:K399" xr:uid="{DADE3A99-4FB4-44CC-8437-6EEDBFD6DED6}"/>
  <tableColumns count="10">
    <tableColumn id="1" xr3:uid="{6BE2A340-22E6-4B43-AB84-8A08779C3D14}" name="Ativo" dataDxfId="25"/>
    <tableColumn id="7" xr3:uid="{1EB39E9C-D9D3-408B-AB48-334EA6A5D5E9}" name="N.º Risco" dataDxfId="24" dataCellStyle="Normal 2 2">
      <calculatedColumnFormula>IFERROR(VLOOKUP(D4,Tabela2[[Descrição]:[ID. Risco]],2,FALSE),"")</calculatedColumnFormula>
    </tableColumn>
    <tableColumn id="5" xr3:uid="{57DAFC72-C623-41A6-9A21-56470311098F}" name="Descrição do Risco" dataDxfId="23"/>
    <tableColumn id="2" xr3:uid="{C442D417-3A0D-4860-9397-AB3993C9E510}" name="Controlo" dataDxfId="22"/>
    <tableColumn id="13" xr3:uid="{9265DD1C-C4B4-4694-8652-320EA62D1031}" name="Root Cause" dataDxfId="21" dataCellStyle="Normal 2 2"/>
    <tableColumn id="3" xr3:uid="{494F4861-B8DD-4512-A8DB-7803B83D5114}" name="Ação a Implementar" dataDxfId="20"/>
    <tableColumn id="6" xr3:uid="{76EFEAC7-67CD-4D03-A321-767F64EB6C6E}" name="Responsável(eis) pela Implementação da(s) Ação(ões)" dataDxfId="19"/>
    <tableColumn id="17" xr3:uid="{A469B9F3-7DF6-45BD-B131-AB8FD1637CB7}" name="Estado" dataDxfId="18" dataCellStyle="Normal 2 2"/>
    <tableColumn id="15" xr3:uid="{BD25F9B6-C68E-4288-9A54-FC4EBCBA9E83}" name="Data Prevista para Implementação" dataDxfId="17" dataCellStyle="Normal 2 2"/>
    <tableColumn id="16" xr3:uid="{2122A37D-2B1B-4422-A2E2-3738A07F5AEB}" name="Data Efetiva de Realização" dataDxfId="16" dataCellStyle="Normal 2 2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2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4ABB0-24B2-45B6-948D-FDA3F7BF537A}">
  <sheetPr>
    <tabColor theme="4" tint="0.39997558519241921"/>
    <pageSetUpPr fitToPage="1"/>
  </sheetPr>
  <dimension ref="B1:G43"/>
  <sheetViews>
    <sheetView zoomScale="80" zoomScaleNormal="80" workbookViewId="0">
      <selection activeCell="C10" sqref="C10:E10"/>
    </sheetView>
  </sheetViews>
  <sheetFormatPr defaultColWidth="8.88671875" defaultRowHeight="14.25" customHeight="1"/>
  <cols>
    <col min="1" max="1" width="2.44140625" style="17" customWidth="1"/>
    <col min="2" max="2" width="3.5546875" style="17" customWidth="1"/>
    <col min="3" max="4" width="28.44140625" style="17" customWidth="1"/>
    <col min="5" max="5" width="79.109375" style="17" customWidth="1"/>
    <col min="6" max="6" width="44.88671875" style="17" bestFit="1" customWidth="1"/>
    <col min="7" max="7" width="3.5546875" style="17" customWidth="1"/>
    <col min="8" max="8" width="5.44140625" style="17" customWidth="1"/>
    <col min="9" max="16384" width="8.88671875" style="17"/>
  </cols>
  <sheetData>
    <row r="1" spans="2:7" ht="10.5" customHeight="1" thickBot="1"/>
    <row r="2" spans="2:7" ht="4.5" customHeight="1">
      <c r="B2" s="18"/>
      <c r="C2" s="19"/>
      <c r="D2" s="19"/>
      <c r="E2" s="19"/>
      <c r="F2" s="19"/>
      <c r="G2" s="20"/>
    </row>
    <row r="3" spans="2:7" ht="15.9" customHeight="1">
      <c r="B3" s="21"/>
      <c r="C3" s="22" t="s">
        <v>0</v>
      </c>
      <c r="D3" s="23"/>
      <c r="E3" s="200" t="s">
        <v>1</v>
      </c>
      <c r="F3" s="200"/>
      <c r="G3" s="24"/>
    </row>
    <row r="4" spans="2:7" ht="15.9" customHeight="1">
      <c r="B4" s="21"/>
      <c r="C4" s="22" t="s">
        <v>2</v>
      </c>
      <c r="D4" s="25"/>
      <c r="E4" s="200"/>
      <c r="F4" s="200"/>
      <c r="G4" s="24"/>
    </row>
    <row r="5" spans="2:7" ht="15.9" customHeight="1">
      <c r="B5" s="21"/>
      <c r="C5" s="22" t="s">
        <v>3</v>
      </c>
      <c r="D5" s="23"/>
      <c r="E5" s="200"/>
      <c r="F5" s="200"/>
      <c r="G5" s="24"/>
    </row>
    <row r="6" spans="2:7" ht="15.9" customHeight="1">
      <c r="B6" s="21"/>
      <c r="C6" s="22" t="s">
        <v>4</v>
      </c>
      <c r="D6" s="25"/>
      <c r="E6" s="26"/>
      <c r="F6" s="26"/>
      <c r="G6" s="24"/>
    </row>
    <row r="7" spans="2:7" ht="15.9" customHeight="1">
      <c r="B7" s="21"/>
      <c r="C7" s="22" t="s">
        <v>6</v>
      </c>
      <c r="D7" s="23"/>
      <c r="E7" s="27" t="s">
        <v>7</v>
      </c>
      <c r="F7" s="28"/>
      <c r="G7" s="24"/>
    </row>
    <row r="8" spans="2:7" ht="3" customHeight="1">
      <c r="B8" s="41"/>
      <c r="C8" s="42"/>
      <c r="D8" s="42"/>
      <c r="E8" s="42"/>
      <c r="F8" s="42"/>
      <c r="G8" s="43"/>
    </row>
    <row r="9" spans="2:7" ht="16.5" customHeight="1">
      <c r="B9" s="21"/>
      <c r="C9" s="29"/>
      <c r="D9" s="29"/>
      <c r="E9" s="29"/>
      <c r="F9" s="30"/>
      <c r="G9" s="24"/>
    </row>
    <row r="10" spans="2:7" ht="29.25" customHeight="1">
      <c r="B10" s="21"/>
      <c r="C10" s="201" t="s">
        <v>8</v>
      </c>
      <c r="D10" s="201"/>
      <c r="E10" s="201"/>
      <c r="F10" s="30"/>
      <c r="G10" s="24"/>
    </row>
    <row r="11" spans="2:7" ht="14.25" customHeight="1">
      <c r="B11" s="21"/>
      <c r="C11" s="202" t="s">
        <v>9</v>
      </c>
      <c r="D11" s="29"/>
      <c r="E11" s="29"/>
      <c r="F11" s="30"/>
      <c r="G11" s="24"/>
    </row>
    <row r="12" spans="2:7" ht="14.25" customHeight="1">
      <c r="B12" s="21"/>
      <c r="C12" s="203"/>
      <c r="D12" s="29"/>
      <c r="E12" s="29"/>
      <c r="F12" s="30"/>
      <c r="G12" s="24"/>
    </row>
    <row r="13" spans="2:7" ht="20.100000000000001" customHeight="1">
      <c r="B13" s="21"/>
      <c r="C13" s="31" t="s">
        <v>10</v>
      </c>
      <c r="D13" s="31" t="s">
        <v>11</v>
      </c>
      <c r="E13" s="32" t="s">
        <v>12</v>
      </c>
      <c r="F13" s="31" t="s">
        <v>13</v>
      </c>
      <c r="G13" s="24"/>
    </row>
    <row r="14" spans="2:7" ht="20.100000000000001" customHeight="1">
      <c r="B14" s="21"/>
      <c r="C14" s="33"/>
      <c r="D14" s="34"/>
      <c r="E14" s="53" t="s">
        <v>14</v>
      </c>
      <c r="F14" s="36"/>
      <c r="G14" s="24"/>
    </row>
    <row r="15" spans="2:7" ht="20.100000000000001" customHeight="1">
      <c r="B15" s="21"/>
      <c r="C15" s="33"/>
      <c r="D15" s="34"/>
      <c r="E15" s="126" t="s">
        <v>15</v>
      </c>
      <c r="F15" s="36"/>
      <c r="G15" s="24"/>
    </row>
    <row r="16" spans="2:7" ht="20.100000000000001" customHeight="1">
      <c r="B16" s="21"/>
      <c r="C16" s="33"/>
      <c r="D16" s="34"/>
      <c r="E16" s="126" t="s">
        <v>16</v>
      </c>
      <c r="F16" s="36"/>
      <c r="G16" s="24"/>
    </row>
    <row r="17" spans="2:7" ht="20.100000000000001" customHeight="1">
      <c r="B17" s="21"/>
      <c r="C17" s="33"/>
      <c r="D17" s="34"/>
      <c r="E17" s="126" t="s">
        <v>17</v>
      </c>
      <c r="F17" s="36"/>
      <c r="G17" s="24"/>
    </row>
    <row r="18" spans="2:7" ht="20.100000000000001" customHeight="1">
      <c r="B18" s="21"/>
      <c r="C18" s="33"/>
      <c r="D18" s="34"/>
      <c r="E18" s="35" t="s">
        <v>18</v>
      </c>
      <c r="F18" s="36"/>
      <c r="G18" s="24"/>
    </row>
    <row r="19" spans="2:7" ht="20.100000000000001" customHeight="1">
      <c r="B19" s="21"/>
      <c r="C19" s="33"/>
      <c r="D19" s="34"/>
      <c r="E19" s="35" t="s">
        <v>19</v>
      </c>
      <c r="F19" s="36"/>
      <c r="G19" s="24"/>
    </row>
    <row r="20" spans="2:7" ht="20.100000000000001" customHeight="1">
      <c r="B20" s="21"/>
      <c r="C20" s="33"/>
      <c r="D20" s="34"/>
      <c r="E20" s="35" t="s">
        <v>20</v>
      </c>
      <c r="F20" s="37"/>
      <c r="G20" s="24"/>
    </row>
    <row r="21" spans="2:7" ht="14.25" customHeight="1">
      <c r="B21" s="21"/>
      <c r="C21" s="30"/>
      <c r="D21" s="30"/>
      <c r="E21" s="30"/>
      <c r="F21" s="30"/>
      <c r="G21" s="24"/>
    </row>
    <row r="22" spans="2:7" ht="14.25" customHeight="1">
      <c r="B22" s="21"/>
      <c r="C22" s="202" t="s">
        <v>21</v>
      </c>
      <c r="D22" s="38"/>
      <c r="E22" s="30"/>
      <c r="F22" s="30"/>
      <c r="G22" s="24"/>
    </row>
    <row r="23" spans="2:7" ht="14.25" customHeight="1">
      <c r="B23" s="21"/>
      <c r="C23" s="203"/>
      <c r="D23" s="38"/>
      <c r="E23" s="30"/>
      <c r="F23" s="30"/>
      <c r="G23" s="24"/>
    </row>
    <row r="24" spans="2:7" ht="20.100000000000001" customHeight="1">
      <c r="B24" s="21"/>
      <c r="C24" s="31" t="s">
        <v>22</v>
      </c>
      <c r="D24" s="204" t="s">
        <v>23</v>
      </c>
      <c r="E24" s="205"/>
      <c r="F24" s="31" t="s">
        <v>13</v>
      </c>
      <c r="G24" s="24"/>
    </row>
    <row r="25" spans="2:7" ht="20.100000000000001" customHeight="1">
      <c r="B25" s="21"/>
      <c r="C25" s="34"/>
      <c r="D25" s="208" t="s">
        <v>24</v>
      </c>
      <c r="E25" s="208"/>
      <c r="F25" s="34"/>
      <c r="G25" s="24"/>
    </row>
    <row r="26" spans="2:7" ht="20.100000000000001" customHeight="1">
      <c r="B26" s="21"/>
      <c r="C26" s="34"/>
      <c r="D26" s="206" t="s">
        <v>25</v>
      </c>
      <c r="E26" s="206"/>
      <c r="F26" s="34"/>
      <c r="G26" s="24"/>
    </row>
    <row r="27" spans="2:7" ht="20.100000000000001" customHeight="1">
      <c r="B27" s="21"/>
      <c r="C27" s="34"/>
      <c r="D27" s="206"/>
      <c r="E27" s="206"/>
      <c r="F27" s="34"/>
      <c r="G27" s="24"/>
    </row>
    <row r="28" spans="2:7" ht="20.100000000000001" customHeight="1">
      <c r="B28" s="21"/>
      <c r="C28" s="34"/>
      <c r="D28" s="206"/>
      <c r="E28" s="206"/>
      <c r="F28" s="34"/>
      <c r="G28" s="24"/>
    </row>
    <row r="29" spans="2:7" ht="14.25" customHeight="1">
      <c r="B29" s="21"/>
      <c r="C29" s="30"/>
      <c r="D29" s="30"/>
      <c r="E29" s="39"/>
      <c r="F29" s="30"/>
      <c r="G29" s="24"/>
    </row>
    <row r="30" spans="2:7" ht="14.25" customHeight="1">
      <c r="B30" s="21"/>
      <c r="C30" s="30"/>
      <c r="D30" s="30"/>
      <c r="E30" s="39"/>
      <c r="F30" s="30"/>
      <c r="G30" s="24"/>
    </row>
    <row r="31" spans="2:7" ht="20.100000000000001" customHeight="1">
      <c r="B31" s="21"/>
      <c r="C31" s="207" t="s">
        <v>26</v>
      </c>
      <c r="D31" s="207"/>
      <c r="E31" s="207"/>
      <c r="F31" s="207"/>
      <c r="G31" s="24"/>
    </row>
    <row r="32" spans="2:7" ht="36" customHeight="1">
      <c r="B32" s="21"/>
      <c r="C32" s="31" t="s">
        <v>27</v>
      </c>
      <c r="D32" s="198" t="s">
        <v>28</v>
      </c>
      <c r="E32" s="198"/>
      <c r="F32" s="198"/>
      <c r="G32" s="24"/>
    </row>
    <row r="33" spans="2:7" ht="36" customHeight="1">
      <c r="B33" s="21"/>
      <c r="C33" s="31" t="s">
        <v>29</v>
      </c>
      <c r="D33" s="198" t="s">
        <v>30</v>
      </c>
      <c r="E33" s="199"/>
      <c r="F33" s="199"/>
      <c r="G33" s="24"/>
    </row>
    <row r="34" spans="2:7" ht="36" customHeight="1">
      <c r="B34" s="21"/>
      <c r="C34" s="31" t="s">
        <v>31</v>
      </c>
      <c r="D34" s="199" t="s">
        <v>32</v>
      </c>
      <c r="E34" s="199"/>
      <c r="F34" s="199"/>
      <c r="G34" s="24"/>
    </row>
    <row r="35" spans="2:7" ht="36" customHeight="1">
      <c r="B35" s="21"/>
      <c r="C35" s="31" t="s">
        <v>33</v>
      </c>
      <c r="D35" s="199" t="s">
        <v>34</v>
      </c>
      <c r="E35" s="199"/>
      <c r="F35" s="199"/>
      <c r="G35" s="24"/>
    </row>
    <row r="36" spans="2:7" ht="31.5" customHeight="1">
      <c r="B36" s="21"/>
      <c r="C36" s="31" t="s">
        <v>35</v>
      </c>
      <c r="D36" s="209" t="s">
        <v>36</v>
      </c>
      <c r="E36" s="209"/>
      <c r="F36" s="209"/>
      <c r="G36" s="24"/>
    </row>
    <row r="37" spans="2:7" ht="36" customHeight="1">
      <c r="B37" s="21"/>
      <c r="C37" s="31" t="s">
        <v>37</v>
      </c>
      <c r="D37" s="198" t="s">
        <v>38</v>
      </c>
      <c r="E37" s="198"/>
      <c r="F37" s="198"/>
      <c r="G37" s="24"/>
    </row>
    <row r="38" spans="2:7" ht="45" customHeight="1">
      <c r="B38" s="21"/>
      <c r="C38" s="30"/>
      <c r="D38" s="40"/>
      <c r="E38" s="30"/>
      <c r="F38" s="30"/>
      <c r="G38" s="24"/>
    </row>
    <row r="39" spans="2:7" ht="3" customHeight="1">
      <c r="B39" s="41"/>
      <c r="C39" s="42"/>
      <c r="D39" s="42"/>
      <c r="E39" s="42"/>
      <c r="F39" s="42"/>
      <c r="G39" s="43"/>
    </row>
    <row r="40" spans="2:7" ht="1.5" customHeight="1">
      <c r="B40" s="21"/>
      <c r="C40" s="30"/>
      <c r="D40" s="30"/>
      <c r="E40" s="30"/>
      <c r="F40" s="30"/>
      <c r="G40" s="24"/>
    </row>
    <row r="41" spans="2:7" ht="14.25" customHeight="1">
      <c r="B41" s="210"/>
      <c r="C41" s="211"/>
      <c r="D41" s="211"/>
      <c r="E41" s="211"/>
      <c r="F41" s="211"/>
      <c r="G41" s="212"/>
    </row>
    <row r="42" spans="2:7" ht="14.25" customHeight="1" thickBot="1">
      <c r="B42" s="213"/>
      <c r="C42" s="214"/>
      <c r="D42" s="214"/>
      <c r="E42" s="214"/>
      <c r="F42" s="214"/>
      <c r="G42" s="215"/>
    </row>
    <row r="43" spans="2:7" ht="22.5" customHeight="1">
      <c r="D43" s="44"/>
    </row>
  </sheetData>
  <mergeCells count="17">
    <mergeCell ref="D34:F34"/>
    <mergeCell ref="D35:F35"/>
    <mergeCell ref="D36:F36"/>
    <mergeCell ref="D37:F37"/>
    <mergeCell ref="B41:G42"/>
    <mergeCell ref="D33:F33"/>
    <mergeCell ref="E3:F5"/>
    <mergeCell ref="C10:E10"/>
    <mergeCell ref="C11:C12"/>
    <mergeCell ref="C22:C23"/>
    <mergeCell ref="D24:E24"/>
    <mergeCell ref="D27:E27"/>
    <mergeCell ref="C31:F31"/>
    <mergeCell ref="D32:F32"/>
    <mergeCell ref="D25:E25"/>
    <mergeCell ref="D26:E26"/>
    <mergeCell ref="D28:E28"/>
  </mergeCells>
  <pageMargins left="0.75" right="0.75" top="1" bottom="1" header="0.5" footer="0.5"/>
  <pageSetup paperSize="9" scale="98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608C2-DD30-4911-B491-FF6D05FAAB63}">
  <sheetPr>
    <tabColor theme="4" tint="0.39997558519241921"/>
  </sheetPr>
  <dimension ref="A2:IF32"/>
  <sheetViews>
    <sheetView showGridLines="0" zoomScale="90" zoomScaleNormal="90" zoomScaleSheetLayoutView="50" workbookViewId="0">
      <selection activeCell="B8" sqref="B8"/>
    </sheetView>
  </sheetViews>
  <sheetFormatPr defaultColWidth="10.44140625" defaultRowHeight="16.8"/>
  <cols>
    <col min="1" max="1" width="2.5546875" style="52" customWidth="1"/>
    <col min="2" max="2" width="35.5546875" style="47" bestFit="1" customWidth="1"/>
    <col min="3" max="3" width="127.109375" style="47" customWidth="1"/>
    <col min="4" max="4" width="4.44140625" style="47" customWidth="1"/>
    <col min="5" max="7" width="25.5546875" style="47" customWidth="1"/>
    <col min="8" max="239" width="9.109375" style="47" customWidth="1"/>
    <col min="240" max="16384" width="10.44140625" style="47"/>
  </cols>
  <sheetData>
    <row r="2" spans="1:240" ht="18.75" customHeight="1">
      <c r="A2" s="45"/>
      <c r="B2" s="46" t="s">
        <v>39</v>
      </c>
      <c r="C2" s="46" t="s">
        <v>40</v>
      </c>
      <c r="D2" s="104"/>
      <c r="E2" s="216" t="s">
        <v>41</v>
      </c>
      <c r="F2" s="216"/>
      <c r="G2" s="216"/>
      <c r="H2" s="216"/>
      <c r="IF2" s="48"/>
    </row>
    <row r="3" spans="1:240" ht="96.75" customHeight="1">
      <c r="A3" s="49"/>
      <c r="B3" s="50" t="s">
        <v>42</v>
      </c>
      <c r="C3" s="51" t="s">
        <v>43</v>
      </c>
      <c r="E3" s="217" t="s">
        <v>44</v>
      </c>
      <c r="F3" s="217"/>
      <c r="G3" s="217"/>
      <c r="H3" s="217"/>
    </row>
    <row r="4" spans="1:240" ht="90">
      <c r="B4" s="50" t="s">
        <v>45</v>
      </c>
      <c r="C4" s="53" t="s">
        <v>46</v>
      </c>
    </row>
    <row r="5" spans="1:240" ht="42" customHeight="1">
      <c r="B5" s="50" t="s">
        <v>47</v>
      </c>
      <c r="C5" s="53" t="s">
        <v>48</v>
      </c>
    </row>
    <row r="6" spans="1:240" ht="42" customHeight="1">
      <c r="B6" s="50" t="s">
        <v>49</v>
      </c>
      <c r="C6" s="53" t="s">
        <v>50</v>
      </c>
    </row>
    <row r="7" spans="1:240" ht="99" customHeight="1">
      <c r="B7" s="50" t="s">
        <v>51</v>
      </c>
      <c r="C7" s="53" t="s">
        <v>52</v>
      </c>
    </row>
    <row r="8" spans="1:240" ht="99" customHeight="1">
      <c r="B8" s="50" t="s">
        <v>53</v>
      </c>
      <c r="C8" s="53" t="s">
        <v>54</v>
      </c>
    </row>
    <row r="9" spans="1:240" ht="99" customHeight="1">
      <c r="B9" s="50" t="s">
        <v>55</v>
      </c>
      <c r="C9" s="53" t="s">
        <v>56</v>
      </c>
      <c r="D9" s="218"/>
      <c r="E9" s="219"/>
      <c r="F9" s="219"/>
      <c r="G9" s="219"/>
    </row>
    <row r="10" spans="1:240" ht="63" customHeight="1">
      <c r="A10" s="55"/>
      <c r="B10" s="56" t="s">
        <v>57</v>
      </c>
      <c r="C10" s="57" t="s">
        <v>58</v>
      </c>
    </row>
    <row r="11" spans="1:240">
      <c r="A11" s="55"/>
    </row>
    <row r="12" spans="1:240">
      <c r="A12" s="55"/>
      <c r="B12" s="59"/>
    </row>
    <row r="13" spans="1:240">
      <c r="A13" s="55"/>
    </row>
    <row r="14" spans="1:240">
      <c r="A14" s="55"/>
      <c r="B14" s="60"/>
      <c r="C14" s="61"/>
    </row>
    <row r="15" spans="1:240" ht="15.75" customHeight="1">
      <c r="A15" s="55"/>
      <c r="B15" s="62"/>
      <c r="C15" s="63"/>
    </row>
    <row r="16" spans="1:240">
      <c r="A16" s="55"/>
      <c r="B16" s="64"/>
      <c r="C16" s="65"/>
    </row>
    <row r="17" spans="1:3">
      <c r="A17" s="55"/>
      <c r="B17" s="64"/>
      <c r="C17" s="65"/>
    </row>
    <row r="18" spans="1:3">
      <c r="A18" s="55"/>
      <c r="B18" s="58"/>
    </row>
    <row r="19" spans="1:3">
      <c r="A19" s="55"/>
      <c r="B19" s="59"/>
    </row>
    <row r="20" spans="1:3">
      <c r="A20" s="55"/>
      <c r="B20" s="58"/>
    </row>
    <row r="21" spans="1:3">
      <c r="A21" s="55"/>
      <c r="B21" s="58"/>
    </row>
    <row r="22" spans="1:3">
      <c r="A22" s="55"/>
      <c r="B22" s="58"/>
    </row>
    <row r="23" spans="1:3">
      <c r="A23" s="55"/>
      <c r="B23" s="58"/>
    </row>
    <row r="24" spans="1:3">
      <c r="A24" s="55"/>
      <c r="B24" s="58"/>
    </row>
    <row r="25" spans="1:3">
      <c r="A25" s="55"/>
      <c r="B25" s="58"/>
    </row>
    <row r="26" spans="1:3">
      <c r="A26" s="55"/>
      <c r="B26" s="58"/>
    </row>
    <row r="27" spans="1:3">
      <c r="A27" s="55"/>
      <c r="B27" s="58"/>
    </row>
    <row r="28" spans="1:3">
      <c r="A28" s="55"/>
      <c r="B28" s="58"/>
    </row>
    <row r="29" spans="1:3">
      <c r="A29" s="55"/>
      <c r="B29" s="58"/>
    </row>
    <row r="30" spans="1:3">
      <c r="A30" s="66"/>
      <c r="B30" s="58"/>
    </row>
    <row r="31" spans="1:3">
      <c r="A31" s="58"/>
      <c r="B31" s="58"/>
    </row>
    <row r="32" spans="1:3">
      <c r="B32" s="58"/>
    </row>
  </sheetData>
  <dataConsolidate function="product"/>
  <mergeCells count="3">
    <mergeCell ref="E2:H2"/>
    <mergeCell ref="E3:H3"/>
    <mergeCell ref="D9:G9"/>
  </mergeCells>
  <dataValidations count="1">
    <dataValidation type="list" allowBlank="1" showInputMessage="1" showErrorMessage="1" sqref="IC3" xr:uid="{379C078F-37B0-46C4-93A1-C23F93291FA3}">
      <formula1>$IC$3:$IC$3</formula1>
    </dataValidation>
  </dataValidations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D137-7F30-4D11-91A4-931F58F1B12A}">
  <sheetPr>
    <tabColor theme="4" tint="0.39997558519241921"/>
  </sheetPr>
  <dimension ref="A1:F23"/>
  <sheetViews>
    <sheetView showGridLines="0" topLeftCell="A48" zoomScale="90" zoomScaleNormal="90" workbookViewId="0">
      <selection activeCell="F18" sqref="F18"/>
    </sheetView>
  </sheetViews>
  <sheetFormatPr defaultColWidth="8.5546875" defaultRowHeight="16.8"/>
  <cols>
    <col min="1" max="1" width="2.5546875" style="67" customWidth="1"/>
    <col min="2" max="3" width="20.5546875" style="67" customWidth="1"/>
    <col min="4" max="4" width="18.5546875" style="67" customWidth="1"/>
    <col min="5" max="5" width="6.5546875" style="67" bestFit="1" customWidth="1"/>
    <col min="6" max="6" width="169.88671875" style="67" bestFit="1" customWidth="1"/>
    <col min="7" max="8" width="8.5546875" style="67"/>
    <col min="9" max="9" width="8.5546875" style="67" customWidth="1"/>
    <col min="10" max="16384" width="8.5546875" style="67"/>
  </cols>
  <sheetData>
    <row r="1" spans="1:6">
      <c r="A1" s="121"/>
    </row>
    <row r="2" spans="1:6" s="124" customFormat="1" ht="26.1" customHeight="1">
      <c r="B2" s="221" t="s">
        <v>59</v>
      </c>
      <c r="C2" s="221"/>
      <c r="D2" s="221"/>
      <c r="E2" s="221"/>
      <c r="F2" s="221"/>
    </row>
    <row r="3" spans="1:6" s="124" customFormat="1" ht="26.1" customHeight="1">
      <c r="B3" s="123" t="s">
        <v>60</v>
      </c>
      <c r="C3" s="123"/>
      <c r="D3" s="123" t="s">
        <v>61</v>
      </c>
      <c r="E3" s="123" t="s">
        <v>62</v>
      </c>
      <c r="F3" s="123" t="s">
        <v>40</v>
      </c>
    </row>
    <row r="4" spans="1:6" ht="75.75" customHeight="1">
      <c r="B4" s="222" t="s">
        <v>63</v>
      </c>
      <c r="C4" s="222" t="s">
        <v>64</v>
      </c>
      <c r="D4" s="108" t="s">
        <v>5</v>
      </c>
      <c r="E4" s="108">
        <v>5</v>
      </c>
      <c r="F4" s="122" t="s">
        <v>65</v>
      </c>
    </row>
    <row r="5" spans="1:6" ht="75.75" customHeight="1">
      <c r="B5" s="222"/>
      <c r="C5" s="222"/>
      <c r="D5" s="108" t="s">
        <v>66</v>
      </c>
      <c r="E5" s="108">
        <v>4</v>
      </c>
      <c r="F5" s="122" t="s">
        <v>67</v>
      </c>
    </row>
    <row r="6" spans="1:6" ht="75.75" customHeight="1">
      <c r="B6" s="222"/>
      <c r="C6" s="222"/>
      <c r="D6" s="108" t="s">
        <v>68</v>
      </c>
      <c r="E6" s="108">
        <v>3</v>
      </c>
      <c r="F6" s="122" t="s">
        <v>69</v>
      </c>
    </row>
    <row r="7" spans="1:6" ht="75.75" customHeight="1">
      <c r="B7" s="222"/>
      <c r="C7" s="222"/>
      <c r="D7" s="108" t="s">
        <v>70</v>
      </c>
      <c r="E7" s="108">
        <v>1</v>
      </c>
      <c r="F7" s="122" t="s">
        <v>71</v>
      </c>
    </row>
    <row r="8" spans="1:6" ht="32.25" customHeight="1">
      <c r="B8" s="222"/>
      <c r="C8" s="222" t="s">
        <v>72</v>
      </c>
      <c r="D8" s="108" t="s">
        <v>73</v>
      </c>
      <c r="E8" s="108">
        <v>5</v>
      </c>
      <c r="F8" s="122" t="s">
        <v>74</v>
      </c>
    </row>
    <row r="9" spans="1:6" ht="32.25" customHeight="1">
      <c r="B9" s="222"/>
      <c r="C9" s="222"/>
      <c r="D9" s="108" t="s">
        <v>75</v>
      </c>
      <c r="E9" s="108">
        <v>4</v>
      </c>
      <c r="F9" s="122" t="s">
        <v>76</v>
      </c>
    </row>
    <row r="10" spans="1:6" ht="32.25" customHeight="1">
      <c r="B10" s="222"/>
      <c r="C10" s="222"/>
      <c r="D10" s="108" t="s">
        <v>77</v>
      </c>
      <c r="E10" s="108">
        <v>3</v>
      </c>
      <c r="F10" s="122" t="s">
        <v>78</v>
      </c>
    </row>
    <row r="11" spans="1:6" ht="32.25" customHeight="1">
      <c r="B11" s="222"/>
      <c r="C11" s="222"/>
      <c r="D11" s="108" t="s">
        <v>79</v>
      </c>
      <c r="E11" s="108">
        <v>1</v>
      </c>
      <c r="F11" s="122" t="s">
        <v>80</v>
      </c>
    </row>
    <row r="12" spans="1:6" ht="46.5" customHeight="1">
      <c r="B12" s="222"/>
      <c r="C12" s="222" t="s">
        <v>81</v>
      </c>
      <c r="D12" s="108" t="s">
        <v>82</v>
      </c>
      <c r="E12" s="108">
        <v>5</v>
      </c>
      <c r="F12" s="122" t="s">
        <v>83</v>
      </c>
    </row>
    <row r="13" spans="1:6" ht="46.5" customHeight="1">
      <c r="B13" s="222"/>
      <c r="C13" s="222"/>
      <c r="D13" s="108" t="s">
        <v>84</v>
      </c>
      <c r="E13" s="108">
        <v>4</v>
      </c>
      <c r="F13" s="122" t="s">
        <v>85</v>
      </c>
    </row>
    <row r="14" spans="1:6" ht="46.5" customHeight="1">
      <c r="B14" s="222"/>
      <c r="C14" s="222"/>
      <c r="D14" s="108" t="s">
        <v>86</v>
      </c>
      <c r="E14" s="108">
        <v>3</v>
      </c>
      <c r="F14" s="122" t="s">
        <v>87</v>
      </c>
    </row>
    <row r="15" spans="1:6" ht="46.5" customHeight="1">
      <c r="B15" s="223"/>
      <c r="C15" s="223"/>
      <c r="D15" s="150" t="s">
        <v>88</v>
      </c>
      <c r="E15" s="150">
        <v>1</v>
      </c>
      <c r="F15" s="151" t="s">
        <v>89</v>
      </c>
    </row>
    <row r="16" spans="1:6" ht="32.25" customHeight="1">
      <c r="B16" s="220" t="s">
        <v>90</v>
      </c>
      <c r="C16" s="220"/>
      <c r="D16" s="153" t="s">
        <v>73</v>
      </c>
      <c r="E16" s="149">
        <v>5</v>
      </c>
      <c r="F16" s="152" t="s">
        <v>91</v>
      </c>
    </row>
    <row r="17" spans="2:6" ht="32.25" customHeight="1">
      <c r="B17" s="220"/>
      <c r="C17" s="220"/>
      <c r="D17" s="153" t="s">
        <v>75</v>
      </c>
      <c r="E17" s="149">
        <v>4</v>
      </c>
      <c r="F17" s="152" t="s">
        <v>92</v>
      </c>
    </row>
    <row r="18" spans="2:6" ht="32.25" customHeight="1">
      <c r="B18" s="220"/>
      <c r="C18" s="220"/>
      <c r="D18" s="153" t="s">
        <v>77</v>
      </c>
      <c r="E18" s="149">
        <v>3</v>
      </c>
      <c r="F18" s="152" t="s">
        <v>93</v>
      </c>
    </row>
    <row r="19" spans="2:6" ht="32.25" customHeight="1">
      <c r="B19" s="220"/>
      <c r="C19" s="220"/>
      <c r="D19" s="153" t="s">
        <v>79</v>
      </c>
      <c r="E19" s="149">
        <v>1</v>
      </c>
      <c r="F19" s="152" t="s">
        <v>94</v>
      </c>
    </row>
    <row r="20" spans="2:6" ht="32.25" customHeight="1">
      <c r="B20" s="220" t="s">
        <v>95</v>
      </c>
      <c r="C20" s="220"/>
      <c r="D20" s="153" t="s">
        <v>73</v>
      </c>
      <c r="E20" s="149">
        <v>5</v>
      </c>
      <c r="F20" s="36" t="s">
        <v>590</v>
      </c>
    </row>
    <row r="21" spans="2:6" ht="32.25" customHeight="1">
      <c r="B21" s="220"/>
      <c r="C21" s="220"/>
      <c r="D21" s="153" t="s">
        <v>75</v>
      </c>
      <c r="E21" s="149">
        <v>4</v>
      </c>
      <c r="F21" s="152" t="s">
        <v>591</v>
      </c>
    </row>
    <row r="22" spans="2:6" ht="32.25" customHeight="1">
      <c r="B22" s="220"/>
      <c r="C22" s="220"/>
      <c r="D22" s="153" t="s">
        <v>77</v>
      </c>
      <c r="E22" s="149">
        <v>3</v>
      </c>
      <c r="F22" s="152" t="s">
        <v>589</v>
      </c>
    </row>
    <row r="23" spans="2:6" ht="32.25" customHeight="1">
      <c r="B23" s="220"/>
      <c r="C23" s="220"/>
      <c r="D23" s="153" t="s">
        <v>79</v>
      </c>
      <c r="E23" s="149">
        <v>1</v>
      </c>
      <c r="F23" s="152" t="s">
        <v>592</v>
      </c>
    </row>
  </sheetData>
  <mergeCells count="7">
    <mergeCell ref="B16:C19"/>
    <mergeCell ref="B20:C23"/>
    <mergeCell ref="B2:F2"/>
    <mergeCell ref="B4:B15"/>
    <mergeCell ref="C4:C7"/>
    <mergeCell ref="C8:C11"/>
    <mergeCell ref="C12:C1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5730-5987-4C5C-AFC9-D7A466FEEFFD}">
  <sheetPr>
    <tabColor theme="4" tint="-0.249977111117893"/>
    <pageSetUpPr fitToPage="1"/>
  </sheetPr>
  <dimension ref="A1:ID172"/>
  <sheetViews>
    <sheetView showGridLines="0" zoomScale="70" zoomScaleNormal="70" workbookViewId="0">
      <selection activeCell="B5" sqref="B5:Q5"/>
    </sheetView>
  </sheetViews>
  <sheetFormatPr defaultColWidth="8.5546875" defaultRowHeight="16.8"/>
  <cols>
    <col min="1" max="1" width="5" style="52" bestFit="1" customWidth="1"/>
    <col min="2" max="2" width="30.6640625" style="156" customWidth="1"/>
    <col min="3" max="3" width="27.77734375" style="156" customWidth="1"/>
    <col min="4" max="4" width="21.88671875" style="156" customWidth="1"/>
    <col min="5" max="5" width="19.5546875" style="156" customWidth="1"/>
    <col min="6" max="6" width="30.5546875" style="156" customWidth="1"/>
    <col min="7" max="7" width="18.5546875" style="156" customWidth="1"/>
    <col min="8" max="8" width="14.44140625" style="156" hidden="1" customWidth="1"/>
    <col min="9" max="9" width="30.5546875" style="47" hidden="1" customWidth="1"/>
    <col min="10" max="10" width="27.21875" style="47" hidden="1" customWidth="1"/>
    <col min="11" max="11" width="24.5546875" style="47" customWidth="1"/>
    <col min="12" max="12" width="23.5546875" style="47" customWidth="1"/>
    <col min="13" max="14" width="30.5546875" style="47" customWidth="1"/>
    <col min="15" max="16" width="36.5546875" style="47" customWidth="1"/>
    <col min="17" max="17" width="30.5546875" style="47" customWidth="1"/>
    <col min="18" max="18" width="24.5546875" style="47" customWidth="1"/>
    <col min="19" max="239" width="9.109375" style="47" customWidth="1"/>
    <col min="240" max="16384" width="8.5546875" style="47"/>
  </cols>
  <sheetData>
    <row r="1" spans="1:238" s="52" customFormat="1" ht="15" customHeight="1">
      <c r="A1" s="133"/>
      <c r="B1" s="154"/>
      <c r="C1" s="154"/>
      <c r="D1" s="154"/>
      <c r="E1" s="154"/>
      <c r="F1" s="154"/>
      <c r="G1" s="154"/>
      <c r="H1" s="154"/>
      <c r="I1" s="134"/>
      <c r="J1" s="134"/>
      <c r="K1" s="134"/>
      <c r="L1" s="134"/>
      <c r="M1" s="134"/>
      <c r="N1" s="134"/>
      <c r="O1" s="134"/>
      <c r="P1" s="134"/>
      <c r="ID1" s="54"/>
    </row>
    <row r="2" spans="1:238" s="52" customFormat="1" ht="15" customHeight="1">
      <c r="A2" s="133"/>
      <c r="B2" s="154"/>
      <c r="C2" s="154"/>
      <c r="D2" s="154"/>
      <c r="E2" s="154"/>
      <c r="F2" s="154"/>
      <c r="G2" s="154"/>
      <c r="H2" s="154"/>
      <c r="I2" s="134"/>
      <c r="J2" s="134"/>
      <c r="K2" s="134"/>
      <c r="L2" s="134"/>
      <c r="M2" s="134"/>
      <c r="N2" s="134"/>
      <c r="O2" s="134"/>
      <c r="P2" s="134"/>
      <c r="ID2" s="54"/>
    </row>
    <row r="3" spans="1:238" ht="26.1" customHeight="1">
      <c r="B3" s="155"/>
      <c r="C3" s="155"/>
      <c r="D3" s="155"/>
      <c r="E3" s="155"/>
      <c r="F3" s="155"/>
      <c r="G3" s="155"/>
      <c r="H3" s="155"/>
      <c r="I3" s="135"/>
      <c r="J3" s="135"/>
      <c r="K3" s="135"/>
      <c r="L3" s="224" t="s">
        <v>96</v>
      </c>
      <c r="M3" s="224"/>
      <c r="N3" s="224"/>
      <c r="O3" s="224" t="s">
        <v>97</v>
      </c>
      <c r="P3" s="224"/>
      <c r="Q3" s="136"/>
      <c r="ID3" s="48"/>
    </row>
    <row r="4" spans="1:238" s="52" customFormat="1" ht="26.1" customHeight="1">
      <c r="B4" s="137" t="s">
        <v>98</v>
      </c>
      <c r="C4" s="137" t="s">
        <v>99</v>
      </c>
      <c r="D4" s="138" t="s">
        <v>100</v>
      </c>
      <c r="E4" s="137" t="s">
        <v>101</v>
      </c>
      <c r="F4" s="137" t="s">
        <v>102</v>
      </c>
      <c r="G4" s="137" t="s">
        <v>103</v>
      </c>
      <c r="H4" s="137" t="s">
        <v>104</v>
      </c>
      <c r="I4" s="137" t="s">
        <v>105</v>
      </c>
      <c r="J4" s="137" t="s">
        <v>106</v>
      </c>
      <c r="K4" s="137" t="s">
        <v>107</v>
      </c>
      <c r="L4" s="138" t="s">
        <v>64</v>
      </c>
      <c r="M4" s="138" t="s">
        <v>72</v>
      </c>
      <c r="N4" s="138" t="s">
        <v>81</v>
      </c>
      <c r="O4" s="138" t="s">
        <v>90</v>
      </c>
      <c r="P4" s="138" t="s">
        <v>95</v>
      </c>
      <c r="Q4" s="138" t="s">
        <v>108</v>
      </c>
    </row>
    <row r="5" spans="1:238" ht="57.75" customHeight="1">
      <c r="A5" s="55"/>
      <c r="B5" s="139"/>
      <c r="C5" s="140"/>
      <c r="D5" s="140"/>
      <c r="E5" s="192"/>
      <c r="F5" s="140"/>
      <c r="G5" s="139"/>
      <c r="H5" s="189"/>
      <c r="I5" s="190"/>
      <c r="J5" s="189"/>
      <c r="K5" s="139"/>
      <c r="L5" s="140"/>
      <c r="M5" s="140"/>
      <c r="N5" s="192"/>
      <c r="O5" s="140"/>
      <c r="P5" s="140"/>
      <c r="Q5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6" spans="1:238" ht="57.75" customHeight="1">
      <c r="A6" s="55"/>
      <c r="B6" s="139"/>
      <c r="C6" s="140"/>
      <c r="D6" s="140"/>
      <c r="E6" s="192"/>
      <c r="F6" s="140"/>
      <c r="G6" s="139"/>
      <c r="H6" s="189" t="s">
        <v>109</v>
      </c>
      <c r="I6" s="190" t="s">
        <v>110</v>
      </c>
      <c r="J6" s="189" t="s">
        <v>111</v>
      </c>
      <c r="K6" s="139"/>
      <c r="L6" s="140"/>
      <c r="M6" s="140"/>
      <c r="N6" s="192"/>
      <c r="O6" s="140"/>
      <c r="P6" s="140"/>
      <c r="Q6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7" spans="1:238" ht="39.9" customHeight="1">
      <c r="A7" s="55"/>
      <c r="B7" s="139"/>
      <c r="C7" s="140"/>
      <c r="D7" s="140"/>
      <c r="E7" s="192"/>
      <c r="F7" s="140"/>
      <c r="G7" s="139"/>
      <c r="H7" s="189" t="s">
        <v>109</v>
      </c>
      <c r="I7" s="190" t="s">
        <v>110</v>
      </c>
      <c r="J7" s="189" t="s">
        <v>111</v>
      </c>
      <c r="K7" s="139"/>
      <c r="L7" s="140"/>
      <c r="M7" s="140"/>
      <c r="N7" s="192"/>
      <c r="O7" s="140"/>
      <c r="P7" s="140"/>
      <c r="Q7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8" spans="1:238" ht="39.9" customHeight="1">
      <c r="A8" s="55"/>
      <c r="B8" s="139"/>
      <c r="C8" s="140"/>
      <c r="D8" s="140"/>
      <c r="E8" s="192"/>
      <c r="F8" s="140"/>
      <c r="G8" s="139"/>
      <c r="H8" s="189" t="s">
        <v>109</v>
      </c>
      <c r="I8" s="190" t="s">
        <v>110</v>
      </c>
      <c r="J8" s="189" t="s">
        <v>111</v>
      </c>
      <c r="K8" s="139"/>
      <c r="L8" s="140"/>
      <c r="M8" s="140"/>
      <c r="N8" s="192"/>
      <c r="O8" s="192"/>
      <c r="P8" s="140"/>
      <c r="Q8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9" spans="1:238" ht="39.9" customHeight="1">
      <c r="A9" s="55"/>
      <c r="B9" s="139"/>
      <c r="C9" s="140"/>
      <c r="D9" s="140"/>
      <c r="E9" s="192"/>
      <c r="F9" s="140"/>
      <c r="G9" s="139"/>
      <c r="H9" s="189" t="s">
        <v>109</v>
      </c>
      <c r="I9" s="190" t="s">
        <v>110</v>
      </c>
      <c r="J9" s="189" t="s">
        <v>111</v>
      </c>
      <c r="K9" s="139"/>
      <c r="L9" s="140"/>
      <c r="M9" s="140"/>
      <c r="N9" s="192"/>
      <c r="O9" s="140"/>
      <c r="P9" s="140"/>
      <c r="Q9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10" spans="1:238" ht="39.9" customHeight="1">
      <c r="A10" s="55"/>
      <c r="B10" s="139"/>
      <c r="C10" s="140"/>
      <c r="D10" s="140"/>
      <c r="E10" s="192"/>
      <c r="F10" s="140"/>
      <c r="G10" s="139"/>
      <c r="H10" s="189" t="s">
        <v>109</v>
      </c>
      <c r="I10" s="190" t="s">
        <v>110</v>
      </c>
      <c r="J10" s="189" t="s">
        <v>111</v>
      </c>
      <c r="K10" s="139"/>
      <c r="L10" s="140"/>
      <c r="M10" s="140"/>
      <c r="N10" s="192"/>
      <c r="O10" s="140"/>
      <c r="P10" s="140"/>
      <c r="Q10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11" spans="1:238">
      <c r="A11" s="55"/>
      <c r="B11" s="139"/>
      <c r="C11" s="140"/>
      <c r="D11" s="140"/>
      <c r="E11" s="192"/>
      <c r="F11" s="140"/>
      <c r="G11" s="139"/>
      <c r="H11" s="189" t="s">
        <v>109</v>
      </c>
      <c r="I11" s="190" t="s">
        <v>110</v>
      </c>
      <c r="J11" s="189" t="s">
        <v>111</v>
      </c>
      <c r="K11" s="139"/>
      <c r="L11" s="140"/>
      <c r="M11" s="140"/>
      <c r="N11" s="192"/>
      <c r="O11" s="140"/>
      <c r="P11" s="140"/>
      <c r="Q11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12" spans="1:238">
      <c r="A12" s="55"/>
      <c r="B12" s="139"/>
      <c r="C12" s="140"/>
      <c r="D12" s="140"/>
      <c r="E12" s="192"/>
      <c r="F12" s="140"/>
      <c r="G12" s="139"/>
      <c r="H12" s="189" t="s">
        <v>109</v>
      </c>
      <c r="I12" s="190" t="s">
        <v>110</v>
      </c>
      <c r="J12" s="189" t="s">
        <v>111</v>
      </c>
      <c r="K12" s="139"/>
      <c r="L12" s="140"/>
      <c r="M12" s="140"/>
      <c r="N12" s="192"/>
      <c r="O12" s="140"/>
      <c r="P12" s="140"/>
      <c r="Q12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13" spans="1:238">
      <c r="A13" s="55"/>
      <c r="B13" s="139"/>
      <c r="C13" s="140"/>
      <c r="D13" s="140"/>
      <c r="E13" s="192"/>
      <c r="F13" s="140"/>
      <c r="G13" s="139"/>
      <c r="H13" s="189" t="s">
        <v>109</v>
      </c>
      <c r="I13" s="190" t="s">
        <v>110</v>
      </c>
      <c r="J13" s="189" t="s">
        <v>111</v>
      </c>
      <c r="K13" s="142"/>
      <c r="L13" s="140"/>
      <c r="M13" s="140"/>
      <c r="N13" s="192"/>
      <c r="O13" s="140"/>
      <c r="P13" s="140"/>
      <c r="Q13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14" spans="1:238" ht="39.9" customHeight="1">
      <c r="A14" s="55"/>
      <c r="B14" s="139"/>
      <c r="C14" s="140"/>
      <c r="D14" s="140"/>
      <c r="E14" s="192"/>
      <c r="F14" s="140"/>
      <c r="G14" s="139"/>
      <c r="H14" s="189" t="s">
        <v>109</v>
      </c>
      <c r="I14" s="190" t="s">
        <v>110</v>
      </c>
      <c r="J14" s="189" t="s">
        <v>111</v>
      </c>
      <c r="K14" s="142"/>
      <c r="L14" s="140"/>
      <c r="M14" s="140"/>
      <c r="N14" s="192"/>
      <c r="O14" s="192"/>
      <c r="P14" s="140"/>
      <c r="Q14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15" spans="1:238" ht="39.9" customHeight="1">
      <c r="A15" s="55"/>
      <c r="B15" s="139"/>
      <c r="C15" s="140"/>
      <c r="D15" s="140"/>
      <c r="E15" s="192"/>
      <c r="F15" s="140"/>
      <c r="G15" s="139"/>
      <c r="H15" s="189" t="s">
        <v>109</v>
      </c>
      <c r="I15" s="190" t="s">
        <v>110</v>
      </c>
      <c r="J15" s="189" t="s">
        <v>111</v>
      </c>
      <c r="K15" s="142"/>
      <c r="L15" s="140"/>
      <c r="M15" s="140"/>
      <c r="N15" s="192"/>
      <c r="O15" s="192"/>
      <c r="P15" s="140"/>
      <c r="Q15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16" spans="1:238" ht="39.9" customHeight="1">
      <c r="A16" s="55"/>
      <c r="B16" s="139"/>
      <c r="C16" s="140"/>
      <c r="D16" s="140"/>
      <c r="E16" s="192"/>
      <c r="F16" s="140"/>
      <c r="G16" s="139"/>
      <c r="H16" s="189" t="s">
        <v>109</v>
      </c>
      <c r="I16" s="190" t="s">
        <v>110</v>
      </c>
      <c r="J16" s="189" t="s">
        <v>111</v>
      </c>
      <c r="K16" s="142"/>
      <c r="L16" s="140"/>
      <c r="M16" s="140"/>
      <c r="N16" s="192"/>
      <c r="O16" s="140"/>
      <c r="P16" s="140"/>
      <c r="Q16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17" spans="1:18" ht="39.9" customHeight="1">
      <c r="A17" s="55"/>
      <c r="B17" s="139"/>
      <c r="C17" s="140"/>
      <c r="D17" s="140"/>
      <c r="E17" s="192"/>
      <c r="F17" s="140"/>
      <c r="G17" s="139"/>
      <c r="H17" s="189" t="s">
        <v>109</v>
      </c>
      <c r="I17" s="190" t="s">
        <v>110</v>
      </c>
      <c r="J17" s="189" t="s">
        <v>111</v>
      </c>
      <c r="K17" s="139"/>
      <c r="L17" s="140"/>
      <c r="M17" s="140"/>
      <c r="N17" s="192"/>
      <c r="O17" s="140"/>
      <c r="P17" s="140"/>
      <c r="Q17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18" spans="1:18" ht="39.9" customHeight="1">
      <c r="A18" s="55"/>
      <c r="B18" s="139"/>
      <c r="C18" s="140"/>
      <c r="D18" s="140"/>
      <c r="E18" s="192"/>
      <c r="F18" s="140"/>
      <c r="G18" s="139"/>
      <c r="H18" s="189" t="s">
        <v>109</v>
      </c>
      <c r="I18" s="190" t="s">
        <v>110</v>
      </c>
      <c r="J18" s="189" t="s">
        <v>111</v>
      </c>
      <c r="K18" s="139"/>
      <c r="L18" s="140"/>
      <c r="M18" s="140"/>
      <c r="N18" s="192"/>
      <c r="O18" s="140"/>
      <c r="P18" s="140"/>
      <c r="Q18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19" spans="1:18" ht="39.9" customHeight="1">
      <c r="A19" s="55"/>
      <c r="B19" s="139"/>
      <c r="C19" s="140"/>
      <c r="D19" s="140"/>
      <c r="E19" s="192"/>
      <c r="F19" s="140"/>
      <c r="G19" s="139"/>
      <c r="H19" s="189" t="s">
        <v>109</v>
      </c>
      <c r="I19" s="190" t="s">
        <v>110</v>
      </c>
      <c r="J19" s="189" t="s">
        <v>111</v>
      </c>
      <c r="K19" s="139"/>
      <c r="L19" s="140"/>
      <c r="M19" s="140"/>
      <c r="N19" s="192"/>
      <c r="O19" s="140"/>
      <c r="P19" s="140"/>
      <c r="Q19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20" spans="1:18" ht="39.9" customHeight="1">
      <c r="A20" s="55"/>
      <c r="B20" s="139"/>
      <c r="C20" s="140"/>
      <c r="D20" s="140"/>
      <c r="E20" s="192"/>
      <c r="F20" s="140"/>
      <c r="G20" s="139"/>
      <c r="H20" s="189" t="s">
        <v>109</v>
      </c>
      <c r="I20" s="190" t="s">
        <v>110</v>
      </c>
      <c r="J20" s="189" t="s">
        <v>111</v>
      </c>
      <c r="K20" s="139"/>
      <c r="L20" s="140"/>
      <c r="M20" s="140"/>
      <c r="N20" s="192"/>
      <c r="O20" s="140"/>
      <c r="P20" s="140"/>
      <c r="Q20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21" spans="1:18" ht="39.9" customHeight="1">
      <c r="A21" s="55"/>
      <c r="B21" s="139"/>
      <c r="C21" s="140"/>
      <c r="D21" s="140"/>
      <c r="E21" s="192"/>
      <c r="F21" s="140"/>
      <c r="G21" s="139"/>
      <c r="H21" s="189" t="s">
        <v>109</v>
      </c>
      <c r="I21" s="190" t="s">
        <v>110</v>
      </c>
      <c r="J21" s="189" t="s">
        <v>111</v>
      </c>
      <c r="K21" s="139"/>
      <c r="L21" s="140"/>
      <c r="M21" s="140"/>
      <c r="N21" s="192"/>
      <c r="O21" s="140"/>
      <c r="P21" s="140"/>
      <c r="Q21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22" spans="1:18" ht="39.9" customHeight="1">
      <c r="A22" s="55"/>
      <c r="B22" s="139"/>
      <c r="C22" s="140"/>
      <c r="D22" s="140"/>
      <c r="E22" s="192"/>
      <c r="F22" s="140"/>
      <c r="G22" s="139"/>
      <c r="H22" s="189" t="s">
        <v>109</v>
      </c>
      <c r="I22" s="190" t="s">
        <v>110</v>
      </c>
      <c r="J22" s="189" t="s">
        <v>111</v>
      </c>
      <c r="K22" s="139"/>
      <c r="L22" s="140"/>
      <c r="M22" s="140"/>
      <c r="N22" s="192"/>
      <c r="O22" s="192"/>
      <c r="P22" s="140"/>
      <c r="Q22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23" spans="1:18">
      <c r="A23" s="55"/>
      <c r="B23" s="139"/>
      <c r="C23" s="140"/>
      <c r="D23" s="140"/>
      <c r="E23" s="192"/>
      <c r="F23" s="140"/>
      <c r="G23" s="139"/>
      <c r="H23" s="189" t="s">
        <v>109</v>
      </c>
      <c r="I23" s="190" t="s">
        <v>110</v>
      </c>
      <c r="J23" s="189" t="s">
        <v>111</v>
      </c>
      <c r="K23" s="139"/>
      <c r="L23" s="140"/>
      <c r="M23" s="140"/>
      <c r="N23" s="192"/>
      <c r="O23" s="192"/>
      <c r="P23" s="140"/>
      <c r="Q23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24" spans="1:18">
      <c r="A24" s="55"/>
      <c r="B24" s="139"/>
      <c r="C24" s="140"/>
      <c r="D24" s="140"/>
      <c r="E24" s="192"/>
      <c r="F24" s="140"/>
      <c r="G24" s="139"/>
      <c r="H24" s="189" t="s">
        <v>109</v>
      </c>
      <c r="I24" s="190" t="s">
        <v>110</v>
      </c>
      <c r="J24" s="189" t="s">
        <v>111</v>
      </c>
      <c r="K24" s="139"/>
      <c r="L24" s="140"/>
      <c r="M24" s="140"/>
      <c r="N24" s="192"/>
      <c r="O24" s="140"/>
      <c r="P24" s="140"/>
      <c r="Q24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25" spans="1:18" ht="39.9" customHeight="1">
      <c r="A25" s="55"/>
      <c r="B25" s="139"/>
      <c r="C25" s="140"/>
      <c r="D25" s="140"/>
      <c r="E25" s="192"/>
      <c r="F25" s="140"/>
      <c r="G25" s="139"/>
      <c r="H25" s="189" t="s">
        <v>109</v>
      </c>
      <c r="I25" s="190" t="s">
        <v>110</v>
      </c>
      <c r="J25" s="189" t="s">
        <v>111</v>
      </c>
      <c r="K25" s="139"/>
      <c r="L25" s="140"/>
      <c r="M25" s="140"/>
      <c r="N25" s="192"/>
      <c r="O25" s="140"/>
      <c r="P25" s="140"/>
      <c r="Q25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</row>
    <row r="26" spans="1:18" ht="39.9" customHeight="1">
      <c r="B26" s="139"/>
      <c r="C26" s="140"/>
      <c r="D26" s="140"/>
      <c r="E26" s="192"/>
      <c r="F26" s="140"/>
      <c r="G26" s="139"/>
      <c r="H26" s="189" t="s">
        <v>109</v>
      </c>
      <c r="I26" s="190" t="s">
        <v>110</v>
      </c>
      <c r="J26" s="189" t="s">
        <v>111</v>
      </c>
      <c r="K26" s="139"/>
      <c r="L26" s="140"/>
      <c r="M26" s="140"/>
      <c r="N26" s="192"/>
      <c r="O26" s="140"/>
      <c r="P26" s="140"/>
      <c r="Q26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26" s="141"/>
    </row>
    <row r="27" spans="1:18" ht="39.9" customHeight="1">
      <c r="B27" s="139"/>
      <c r="C27" s="140"/>
      <c r="D27" s="140"/>
      <c r="E27" s="192"/>
      <c r="F27" s="140"/>
      <c r="G27" s="139"/>
      <c r="H27" s="189" t="s">
        <v>109</v>
      </c>
      <c r="I27" s="190" t="s">
        <v>110</v>
      </c>
      <c r="J27" s="189" t="s">
        <v>111</v>
      </c>
      <c r="K27" s="142"/>
      <c r="L27" s="140"/>
      <c r="M27" s="140"/>
      <c r="N27" s="192"/>
      <c r="O27" s="140"/>
      <c r="P27" s="140"/>
      <c r="Q27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27" s="141"/>
    </row>
    <row r="28" spans="1:18" ht="39.9" customHeight="1">
      <c r="B28" s="139"/>
      <c r="C28" s="140"/>
      <c r="D28" s="140"/>
      <c r="E28" s="192"/>
      <c r="F28" s="140"/>
      <c r="G28" s="139"/>
      <c r="H28" s="189" t="s">
        <v>109</v>
      </c>
      <c r="I28" s="190" t="s">
        <v>110</v>
      </c>
      <c r="J28" s="189" t="s">
        <v>111</v>
      </c>
      <c r="K28" s="139"/>
      <c r="L28" s="140"/>
      <c r="M28" s="140"/>
      <c r="N28" s="192"/>
      <c r="O28" s="140"/>
      <c r="P28" s="140"/>
      <c r="Q28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28" s="141"/>
    </row>
    <row r="29" spans="1:18" ht="39.9" customHeight="1">
      <c r="B29" s="139"/>
      <c r="C29" s="140"/>
      <c r="D29" s="140"/>
      <c r="E29" s="192"/>
      <c r="F29" s="140"/>
      <c r="G29" s="139"/>
      <c r="H29" s="189" t="s">
        <v>109</v>
      </c>
      <c r="I29" s="190" t="s">
        <v>110</v>
      </c>
      <c r="J29" s="189" t="s">
        <v>111</v>
      </c>
      <c r="K29" s="139"/>
      <c r="L29" s="140"/>
      <c r="M29" s="140"/>
      <c r="N29" s="192"/>
      <c r="O29" s="192"/>
      <c r="P29" s="140"/>
      <c r="Q29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29" s="141"/>
    </row>
    <row r="30" spans="1:18" ht="39.9" customHeight="1">
      <c r="B30" s="139"/>
      <c r="C30" s="140"/>
      <c r="D30" s="140"/>
      <c r="E30" s="192"/>
      <c r="F30" s="140"/>
      <c r="G30" s="139"/>
      <c r="H30" s="189" t="s">
        <v>109</v>
      </c>
      <c r="I30" s="190" t="s">
        <v>110</v>
      </c>
      <c r="J30" s="189" t="s">
        <v>111</v>
      </c>
      <c r="K30" s="139"/>
      <c r="L30" s="140"/>
      <c r="M30" s="140"/>
      <c r="N30" s="192"/>
      <c r="O30" s="140"/>
      <c r="P30" s="140"/>
      <c r="Q30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30" s="141"/>
    </row>
    <row r="31" spans="1:18" ht="39.9" customHeight="1">
      <c r="B31" s="139"/>
      <c r="C31" s="140"/>
      <c r="D31" s="140"/>
      <c r="E31" s="192"/>
      <c r="F31" s="140"/>
      <c r="G31" s="139"/>
      <c r="H31" s="189" t="s">
        <v>109</v>
      </c>
      <c r="I31" s="190" t="s">
        <v>110</v>
      </c>
      <c r="J31" s="189" t="s">
        <v>111</v>
      </c>
      <c r="K31" s="139"/>
      <c r="L31" s="140"/>
      <c r="M31" s="140"/>
      <c r="N31" s="192"/>
      <c r="O31" s="140"/>
      <c r="P31" s="140"/>
      <c r="Q31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31" s="141"/>
    </row>
    <row r="32" spans="1:18" ht="39.9" customHeight="1">
      <c r="B32" s="139"/>
      <c r="C32" s="140"/>
      <c r="D32" s="140"/>
      <c r="E32" s="192"/>
      <c r="F32" s="140"/>
      <c r="G32" s="139"/>
      <c r="H32" s="189" t="s">
        <v>109</v>
      </c>
      <c r="I32" s="190" t="s">
        <v>110</v>
      </c>
      <c r="J32" s="189" t="s">
        <v>111</v>
      </c>
      <c r="K32" s="139"/>
      <c r="L32" s="140"/>
      <c r="M32" s="140"/>
      <c r="N32" s="192"/>
      <c r="O32" s="140"/>
      <c r="P32" s="140"/>
      <c r="Q32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32" s="141"/>
    </row>
    <row r="33" spans="2:18" ht="39.9" customHeight="1">
      <c r="B33" s="139"/>
      <c r="C33" s="140"/>
      <c r="D33" s="140"/>
      <c r="E33" s="192"/>
      <c r="F33" s="140"/>
      <c r="G33" s="139"/>
      <c r="H33" s="189" t="s">
        <v>109</v>
      </c>
      <c r="I33" s="190" t="s">
        <v>110</v>
      </c>
      <c r="J33" s="189" t="s">
        <v>111</v>
      </c>
      <c r="K33" s="139"/>
      <c r="L33" s="140"/>
      <c r="M33" s="140"/>
      <c r="N33" s="192"/>
      <c r="O33" s="140"/>
      <c r="P33" s="140"/>
      <c r="Q33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33" s="141"/>
    </row>
    <row r="34" spans="2:18" ht="39.9" customHeight="1">
      <c r="B34" s="139"/>
      <c r="C34" s="140"/>
      <c r="D34" s="140"/>
      <c r="E34" s="192"/>
      <c r="F34" s="140"/>
      <c r="G34" s="139"/>
      <c r="H34" s="189" t="s">
        <v>109</v>
      </c>
      <c r="I34" s="190" t="s">
        <v>110</v>
      </c>
      <c r="J34" s="189" t="s">
        <v>111</v>
      </c>
      <c r="K34" s="139"/>
      <c r="L34" s="140"/>
      <c r="M34" s="140"/>
      <c r="N34" s="192"/>
      <c r="O34" s="140"/>
      <c r="P34" s="140"/>
      <c r="Q34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34" s="141"/>
    </row>
    <row r="35" spans="2:18" ht="39.9" customHeight="1">
      <c r="B35" s="139"/>
      <c r="C35" s="140"/>
      <c r="D35" s="140"/>
      <c r="E35" s="192"/>
      <c r="F35" s="140"/>
      <c r="G35" s="139"/>
      <c r="H35" s="189" t="s">
        <v>109</v>
      </c>
      <c r="I35" s="190" t="s">
        <v>110</v>
      </c>
      <c r="J35" s="189" t="s">
        <v>111</v>
      </c>
      <c r="K35" s="139"/>
      <c r="L35" s="140"/>
      <c r="M35" s="140"/>
      <c r="N35" s="192"/>
      <c r="O35" s="140"/>
      <c r="P35" s="140"/>
      <c r="Q35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35" s="141"/>
    </row>
    <row r="36" spans="2:18" ht="39.9" customHeight="1">
      <c r="B36" s="139"/>
      <c r="C36" s="140"/>
      <c r="D36" s="140"/>
      <c r="E36" s="192"/>
      <c r="F36" s="140"/>
      <c r="G36" s="139"/>
      <c r="H36" s="189" t="s">
        <v>109</v>
      </c>
      <c r="I36" s="190" t="s">
        <v>110</v>
      </c>
      <c r="J36" s="189" t="s">
        <v>111</v>
      </c>
      <c r="K36" s="139"/>
      <c r="L36" s="140"/>
      <c r="M36" s="140"/>
      <c r="N36" s="192"/>
      <c r="O36" s="140"/>
      <c r="P36" s="140"/>
      <c r="Q36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36" s="141"/>
    </row>
    <row r="37" spans="2:18" ht="39.9" customHeight="1">
      <c r="B37" s="139"/>
      <c r="C37" s="140"/>
      <c r="D37" s="140"/>
      <c r="E37" s="192"/>
      <c r="F37" s="140"/>
      <c r="G37" s="139"/>
      <c r="H37" s="189" t="s">
        <v>109</v>
      </c>
      <c r="I37" s="190" t="s">
        <v>110</v>
      </c>
      <c r="J37" s="189" t="s">
        <v>111</v>
      </c>
      <c r="K37" s="139"/>
      <c r="L37" s="140"/>
      <c r="M37" s="140"/>
      <c r="N37" s="192"/>
      <c r="O37" s="140"/>
      <c r="P37" s="140"/>
      <c r="Q37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37" s="141"/>
    </row>
    <row r="38" spans="2:18" ht="39.9" customHeight="1">
      <c r="B38" s="139"/>
      <c r="C38" s="140"/>
      <c r="D38" s="140"/>
      <c r="E38" s="192"/>
      <c r="F38" s="140"/>
      <c r="G38" s="139"/>
      <c r="H38" s="189" t="s">
        <v>109</v>
      </c>
      <c r="I38" s="190" t="s">
        <v>110</v>
      </c>
      <c r="J38" s="189" t="s">
        <v>111</v>
      </c>
      <c r="K38" s="139"/>
      <c r="L38" s="140"/>
      <c r="M38" s="140"/>
      <c r="N38" s="192"/>
      <c r="O38" s="192"/>
      <c r="P38" s="140"/>
      <c r="Q38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38" s="141"/>
    </row>
    <row r="39" spans="2:18" ht="39.9" customHeight="1">
      <c r="B39" s="139"/>
      <c r="C39" s="140"/>
      <c r="D39" s="140"/>
      <c r="E39" s="192"/>
      <c r="F39" s="140"/>
      <c r="G39" s="139"/>
      <c r="H39" s="189" t="s">
        <v>109</v>
      </c>
      <c r="I39" s="190" t="s">
        <v>110</v>
      </c>
      <c r="J39" s="189" t="s">
        <v>111</v>
      </c>
      <c r="K39" s="139"/>
      <c r="L39" s="140"/>
      <c r="M39" s="140"/>
      <c r="N39" s="192"/>
      <c r="O39" s="192"/>
      <c r="P39" s="140"/>
      <c r="Q39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39" s="141"/>
    </row>
    <row r="40" spans="2:18" ht="39.9" customHeight="1">
      <c r="B40" s="139"/>
      <c r="C40" s="140"/>
      <c r="D40" s="140"/>
      <c r="E40" s="192"/>
      <c r="F40" s="140"/>
      <c r="G40" s="139"/>
      <c r="H40" s="189" t="s">
        <v>109</v>
      </c>
      <c r="I40" s="190" t="s">
        <v>110</v>
      </c>
      <c r="J40" s="189" t="s">
        <v>111</v>
      </c>
      <c r="K40" s="139"/>
      <c r="L40" s="140"/>
      <c r="M40" s="140"/>
      <c r="N40" s="192"/>
      <c r="O40" s="192"/>
      <c r="P40" s="140"/>
      <c r="Q40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40" s="141"/>
    </row>
    <row r="41" spans="2:18" ht="39.9" customHeight="1">
      <c r="B41" s="139"/>
      <c r="C41" s="140"/>
      <c r="D41" s="140"/>
      <c r="E41" s="192"/>
      <c r="F41" s="140"/>
      <c r="G41" s="139"/>
      <c r="H41" s="189" t="s">
        <v>109</v>
      </c>
      <c r="I41" s="190" t="s">
        <v>110</v>
      </c>
      <c r="J41" s="189" t="s">
        <v>111</v>
      </c>
      <c r="K41" s="139"/>
      <c r="L41" s="140"/>
      <c r="M41" s="140"/>
      <c r="N41" s="192"/>
      <c r="O41" s="192"/>
      <c r="P41" s="140"/>
      <c r="Q41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41" s="141"/>
    </row>
    <row r="42" spans="2:18" ht="39.9" customHeight="1">
      <c r="B42" s="139"/>
      <c r="C42" s="140"/>
      <c r="D42" s="140"/>
      <c r="E42" s="192"/>
      <c r="F42" s="140"/>
      <c r="G42" s="139"/>
      <c r="H42" s="189" t="s">
        <v>109</v>
      </c>
      <c r="I42" s="190" t="s">
        <v>110</v>
      </c>
      <c r="J42" s="189" t="s">
        <v>111</v>
      </c>
      <c r="K42" s="139"/>
      <c r="L42" s="140"/>
      <c r="M42" s="140"/>
      <c r="N42" s="192"/>
      <c r="O42" s="140"/>
      <c r="P42" s="140"/>
      <c r="Q42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42" s="141"/>
    </row>
    <row r="43" spans="2:18" ht="39.9" customHeight="1">
      <c r="B43" s="139"/>
      <c r="C43" s="140"/>
      <c r="D43" s="140"/>
      <c r="E43" s="192"/>
      <c r="F43" s="140"/>
      <c r="G43" s="139"/>
      <c r="H43" s="189" t="s">
        <v>109</v>
      </c>
      <c r="I43" s="190" t="s">
        <v>110</v>
      </c>
      <c r="J43" s="189" t="s">
        <v>111</v>
      </c>
      <c r="K43" s="139"/>
      <c r="L43" s="140"/>
      <c r="M43" s="140"/>
      <c r="N43" s="192"/>
      <c r="O43" s="140"/>
      <c r="P43" s="140"/>
      <c r="Q43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43" s="141"/>
    </row>
    <row r="44" spans="2:18" ht="39.9" customHeight="1">
      <c r="B44" s="139"/>
      <c r="C44" s="140"/>
      <c r="D44" s="140"/>
      <c r="E44" s="192"/>
      <c r="F44" s="140"/>
      <c r="G44" s="139"/>
      <c r="H44" s="189" t="s">
        <v>109</v>
      </c>
      <c r="I44" s="190" t="s">
        <v>110</v>
      </c>
      <c r="J44" s="189" t="s">
        <v>111</v>
      </c>
      <c r="K44" s="139"/>
      <c r="L44" s="140"/>
      <c r="M44" s="140"/>
      <c r="N44" s="192"/>
      <c r="O44" s="140"/>
      <c r="P44" s="140"/>
      <c r="Q44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44" s="141"/>
    </row>
    <row r="45" spans="2:18" ht="39.9" customHeight="1">
      <c r="B45" s="139"/>
      <c r="C45" s="140"/>
      <c r="D45" s="140"/>
      <c r="E45" s="192"/>
      <c r="F45" s="140"/>
      <c r="G45" s="139"/>
      <c r="H45" s="189" t="s">
        <v>109</v>
      </c>
      <c r="I45" s="190" t="s">
        <v>110</v>
      </c>
      <c r="J45" s="189" t="s">
        <v>111</v>
      </c>
      <c r="K45" s="139"/>
      <c r="L45" s="140"/>
      <c r="M45" s="140"/>
      <c r="N45" s="192"/>
      <c r="O45" s="140"/>
      <c r="P45" s="140"/>
      <c r="Q45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45" s="141"/>
    </row>
    <row r="46" spans="2:18" ht="39.9" customHeight="1">
      <c r="B46" s="139"/>
      <c r="C46" s="140"/>
      <c r="D46" s="140"/>
      <c r="E46" s="192"/>
      <c r="F46" s="140"/>
      <c r="G46" s="139"/>
      <c r="H46" s="189" t="s">
        <v>109</v>
      </c>
      <c r="I46" s="190" t="s">
        <v>110</v>
      </c>
      <c r="J46" s="189" t="s">
        <v>111</v>
      </c>
      <c r="K46" s="139"/>
      <c r="L46" s="140"/>
      <c r="M46" s="140"/>
      <c r="N46" s="192"/>
      <c r="O46" s="140"/>
      <c r="P46" s="140"/>
      <c r="Q46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46" s="141"/>
    </row>
    <row r="47" spans="2:18" ht="39.9" customHeight="1">
      <c r="B47" s="139"/>
      <c r="C47" s="140"/>
      <c r="D47" s="140"/>
      <c r="E47" s="192"/>
      <c r="F47" s="140"/>
      <c r="G47" s="139"/>
      <c r="H47" s="189" t="s">
        <v>109</v>
      </c>
      <c r="I47" s="190" t="s">
        <v>110</v>
      </c>
      <c r="J47" s="189" t="s">
        <v>111</v>
      </c>
      <c r="K47" s="139"/>
      <c r="L47" s="140"/>
      <c r="M47" s="140"/>
      <c r="N47" s="192"/>
      <c r="O47" s="140"/>
      <c r="P47" s="140"/>
      <c r="Q47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47" s="141"/>
    </row>
    <row r="48" spans="2:18" ht="39.9" customHeight="1">
      <c r="B48" s="139"/>
      <c r="C48" s="140"/>
      <c r="D48" s="140"/>
      <c r="E48" s="192"/>
      <c r="F48" s="140"/>
      <c r="G48" s="139"/>
      <c r="H48" s="189" t="s">
        <v>109</v>
      </c>
      <c r="I48" s="190" t="s">
        <v>110</v>
      </c>
      <c r="J48" s="189" t="s">
        <v>111</v>
      </c>
      <c r="K48" s="139"/>
      <c r="L48" s="140"/>
      <c r="M48" s="140"/>
      <c r="N48" s="192"/>
      <c r="O48" s="192"/>
      <c r="P48" s="140"/>
      <c r="Q48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48" s="141"/>
    </row>
    <row r="49" spans="2:18" ht="39.9" customHeight="1">
      <c r="B49" s="139"/>
      <c r="C49" s="140"/>
      <c r="D49" s="140"/>
      <c r="E49" s="192"/>
      <c r="F49" s="140"/>
      <c r="G49" s="139"/>
      <c r="H49" s="189" t="s">
        <v>109</v>
      </c>
      <c r="I49" s="190" t="s">
        <v>110</v>
      </c>
      <c r="J49" s="189" t="s">
        <v>111</v>
      </c>
      <c r="K49" s="139"/>
      <c r="L49" s="140"/>
      <c r="M49" s="140"/>
      <c r="N49" s="192"/>
      <c r="O49" s="140"/>
      <c r="P49" s="140"/>
      <c r="Q49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49" s="141"/>
    </row>
    <row r="50" spans="2:18" ht="39.9" customHeight="1">
      <c r="B50" s="139"/>
      <c r="C50" s="140"/>
      <c r="D50" s="140"/>
      <c r="E50" s="192"/>
      <c r="F50" s="140"/>
      <c r="G50" s="139"/>
      <c r="H50" s="189" t="s">
        <v>109</v>
      </c>
      <c r="I50" s="190" t="s">
        <v>110</v>
      </c>
      <c r="J50" s="189" t="s">
        <v>111</v>
      </c>
      <c r="K50" s="139"/>
      <c r="L50" s="140"/>
      <c r="M50" s="140"/>
      <c r="N50" s="192"/>
      <c r="O50" s="140"/>
      <c r="P50" s="140"/>
      <c r="Q50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50" s="141"/>
    </row>
    <row r="51" spans="2:18" ht="39.9" customHeight="1">
      <c r="B51" s="139"/>
      <c r="C51" s="140"/>
      <c r="D51" s="140"/>
      <c r="E51" s="192"/>
      <c r="F51" s="140"/>
      <c r="G51" s="139"/>
      <c r="H51" s="189" t="s">
        <v>109</v>
      </c>
      <c r="I51" s="190" t="s">
        <v>110</v>
      </c>
      <c r="J51" s="189" t="s">
        <v>111</v>
      </c>
      <c r="K51" s="139"/>
      <c r="L51" s="140"/>
      <c r="M51" s="140"/>
      <c r="N51" s="192"/>
      <c r="O51" s="140"/>
      <c r="P51" s="140"/>
      <c r="Q51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51" s="141"/>
    </row>
    <row r="52" spans="2:18" ht="39.9" customHeight="1">
      <c r="B52" s="139"/>
      <c r="C52" s="140"/>
      <c r="D52" s="140"/>
      <c r="E52" s="192"/>
      <c r="F52" s="140"/>
      <c r="G52" s="139"/>
      <c r="H52" s="189" t="s">
        <v>109</v>
      </c>
      <c r="I52" s="190" t="s">
        <v>110</v>
      </c>
      <c r="J52" s="189" t="s">
        <v>111</v>
      </c>
      <c r="K52" s="139"/>
      <c r="L52" s="140"/>
      <c r="M52" s="140"/>
      <c r="N52" s="192"/>
      <c r="O52" s="140"/>
      <c r="P52" s="140"/>
      <c r="Q52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52" s="141"/>
    </row>
    <row r="53" spans="2:18" ht="39.9" customHeight="1">
      <c r="B53" s="139"/>
      <c r="C53" s="140"/>
      <c r="D53" s="140"/>
      <c r="E53" s="192"/>
      <c r="F53" s="140"/>
      <c r="G53" s="139"/>
      <c r="H53" s="189" t="s">
        <v>109</v>
      </c>
      <c r="I53" s="190" t="s">
        <v>110</v>
      </c>
      <c r="J53" s="189" t="s">
        <v>111</v>
      </c>
      <c r="K53" s="139"/>
      <c r="L53" s="140"/>
      <c r="M53" s="140"/>
      <c r="N53" s="192"/>
      <c r="O53" s="192"/>
      <c r="P53" s="140"/>
      <c r="Q53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53" s="141"/>
    </row>
    <row r="54" spans="2:18" ht="39.9" customHeight="1">
      <c r="B54" s="139"/>
      <c r="C54" s="140"/>
      <c r="D54" s="140"/>
      <c r="E54" s="192"/>
      <c r="F54" s="140"/>
      <c r="G54" s="139"/>
      <c r="H54" s="189" t="s">
        <v>109</v>
      </c>
      <c r="I54" s="190" t="s">
        <v>110</v>
      </c>
      <c r="J54" s="189" t="s">
        <v>111</v>
      </c>
      <c r="K54" s="139"/>
      <c r="L54" s="140"/>
      <c r="M54" s="140"/>
      <c r="N54" s="192"/>
      <c r="O54" s="140"/>
      <c r="P54" s="140"/>
      <c r="Q54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54" s="141"/>
    </row>
    <row r="55" spans="2:18" ht="39.9" customHeight="1">
      <c r="B55" s="139"/>
      <c r="C55" s="140"/>
      <c r="D55" s="140"/>
      <c r="E55" s="192"/>
      <c r="F55" s="140"/>
      <c r="G55" s="139"/>
      <c r="H55" s="189" t="s">
        <v>109</v>
      </c>
      <c r="I55" s="190" t="s">
        <v>110</v>
      </c>
      <c r="J55" s="189" t="s">
        <v>111</v>
      </c>
      <c r="K55" s="139"/>
      <c r="L55" s="140"/>
      <c r="M55" s="140"/>
      <c r="N55" s="192"/>
      <c r="O55" s="140"/>
      <c r="P55" s="140"/>
      <c r="Q55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55" s="141"/>
    </row>
    <row r="56" spans="2:18" ht="39.9" customHeight="1">
      <c r="B56" s="139"/>
      <c r="C56" s="140"/>
      <c r="D56" s="140"/>
      <c r="E56" s="192"/>
      <c r="F56" s="140"/>
      <c r="G56" s="139"/>
      <c r="H56" s="189" t="s">
        <v>109</v>
      </c>
      <c r="I56" s="190" t="s">
        <v>110</v>
      </c>
      <c r="J56" s="189" t="s">
        <v>111</v>
      </c>
      <c r="K56" s="139"/>
      <c r="L56" s="140"/>
      <c r="M56" s="140"/>
      <c r="N56" s="192"/>
      <c r="O56" s="192"/>
      <c r="P56" s="140"/>
      <c r="Q56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56" s="141"/>
    </row>
    <row r="57" spans="2:18" ht="39.9" customHeight="1">
      <c r="B57" s="139"/>
      <c r="C57" s="140"/>
      <c r="D57" s="140"/>
      <c r="E57" s="192"/>
      <c r="F57" s="140"/>
      <c r="G57" s="139"/>
      <c r="H57" s="189" t="s">
        <v>109</v>
      </c>
      <c r="I57" s="190" t="s">
        <v>110</v>
      </c>
      <c r="J57" s="189" t="s">
        <v>111</v>
      </c>
      <c r="K57" s="139"/>
      <c r="L57" s="140"/>
      <c r="M57" s="140"/>
      <c r="N57" s="192"/>
      <c r="O57" s="140"/>
      <c r="P57" s="140"/>
      <c r="Q57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57" s="141"/>
    </row>
    <row r="58" spans="2:18" ht="39.9" customHeight="1">
      <c r="B58" s="139"/>
      <c r="C58" s="140"/>
      <c r="D58" s="140"/>
      <c r="E58" s="192"/>
      <c r="F58" s="140"/>
      <c r="G58" s="139"/>
      <c r="H58" s="189" t="s">
        <v>109</v>
      </c>
      <c r="I58" s="190" t="s">
        <v>110</v>
      </c>
      <c r="J58" s="189" t="s">
        <v>111</v>
      </c>
      <c r="K58" s="139"/>
      <c r="L58" s="140"/>
      <c r="M58" s="140"/>
      <c r="N58" s="192"/>
      <c r="O58" s="140"/>
      <c r="P58" s="140"/>
      <c r="Q58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58" s="141"/>
    </row>
    <row r="59" spans="2:18" ht="39.9" customHeight="1">
      <c r="B59" s="139"/>
      <c r="C59" s="140"/>
      <c r="D59" s="140"/>
      <c r="E59" s="192"/>
      <c r="F59" s="140"/>
      <c r="G59" s="139"/>
      <c r="H59" s="189" t="s">
        <v>109</v>
      </c>
      <c r="I59" s="190" t="s">
        <v>110</v>
      </c>
      <c r="J59" s="189" t="s">
        <v>111</v>
      </c>
      <c r="K59" s="139"/>
      <c r="L59" s="140"/>
      <c r="M59" s="140"/>
      <c r="N59" s="192"/>
      <c r="O59" s="192"/>
      <c r="P59" s="140"/>
      <c r="Q59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59" s="141"/>
    </row>
    <row r="60" spans="2:18" ht="39.9" customHeight="1">
      <c r="B60" s="139"/>
      <c r="C60" s="140"/>
      <c r="D60" s="140"/>
      <c r="E60" s="192"/>
      <c r="F60" s="140"/>
      <c r="G60" s="139"/>
      <c r="H60" s="189" t="s">
        <v>109</v>
      </c>
      <c r="I60" s="190" t="s">
        <v>110</v>
      </c>
      <c r="J60" s="189" t="s">
        <v>111</v>
      </c>
      <c r="K60" s="139"/>
      <c r="L60" s="140"/>
      <c r="M60" s="140"/>
      <c r="N60" s="192"/>
      <c r="O60" s="140"/>
      <c r="P60" s="140"/>
      <c r="Q60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60" s="141"/>
    </row>
    <row r="61" spans="2:18" ht="39.9" customHeight="1">
      <c r="B61" s="139"/>
      <c r="C61" s="140"/>
      <c r="D61" s="140"/>
      <c r="E61" s="192"/>
      <c r="F61" s="140"/>
      <c r="G61" s="139"/>
      <c r="H61" s="189" t="s">
        <v>109</v>
      </c>
      <c r="I61" s="190" t="s">
        <v>110</v>
      </c>
      <c r="J61" s="189" t="s">
        <v>111</v>
      </c>
      <c r="K61" s="139"/>
      <c r="L61" s="140"/>
      <c r="M61" s="140"/>
      <c r="N61" s="192"/>
      <c r="O61" s="140"/>
      <c r="P61" s="140"/>
      <c r="Q61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61" s="141"/>
    </row>
    <row r="62" spans="2:18" ht="39.9" customHeight="1">
      <c r="B62" s="139"/>
      <c r="C62" s="140"/>
      <c r="D62" s="140"/>
      <c r="E62" s="192"/>
      <c r="F62" s="140"/>
      <c r="G62" s="139"/>
      <c r="H62" s="189" t="s">
        <v>109</v>
      </c>
      <c r="I62" s="190" t="s">
        <v>110</v>
      </c>
      <c r="J62" s="189" t="s">
        <v>111</v>
      </c>
      <c r="K62" s="139"/>
      <c r="L62" s="140"/>
      <c r="M62" s="140"/>
      <c r="N62" s="192"/>
      <c r="O62" s="140"/>
      <c r="P62" s="140"/>
      <c r="Q62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62" s="141"/>
    </row>
    <row r="63" spans="2:18" ht="39.9" customHeight="1">
      <c r="B63" s="139"/>
      <c r="C63" s="140"/>
      <c r="D63" s="140"/>
      <c r="E63" s="192"/>
      <c r="F63" s="140"/>
      <c r="G63" s="139"/>
      <c r="H63" s="189" t="s">
        <v>109</v>
      </c>
      <c r="I63" s="190" t="s">
        <v>110</v>
      </c>
      <c r="J63" s="189" t="s">
        <v>111</v>
      </c>
      <c r="K63" s="139"/>
      <c r="L63" s="140"/>
      <c r="M63" s="140"/>
      <c r="N63" s="192"/>
      <c r="O63" s="140"/>
      <c r="P63" s="140"/>
      <c r="Q63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63" s="141"/>
    </row>
    <row r="64" spans="2:18" ht="39.9" customHeight="1">
      <c r="B64" s="139"/>
      <c r="C64" s="140"/>
      <c r="D64" s="140"/>
      <c r="E64" s="192"/>
      <c r="F64" s="140"/>
      <c r="G64" s="139"/>
      <c r="H64" s="189" t="s">
        <v>109</v>
      </c>
      <c r="I64" s="190" t="s">
        <v>110</v>
      </c>
      <c r="J64" s="189" t="s">
        <v>111</v>
      </c>
      <c r="K64" s="139"/>
      <c r="L64" s="140"/>
      <c r="M64" s="140"/>
      <c r="N64" s="192"/>
      <c r="O64" s="140"/>
      <c r="P64" s="140"/>
      <c r="Q64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64" s="141"/>
    </row>
    <row r="65" spans="2:18" ht="39.9" customHeight="1">
      <c r="B65" s="139"/>
      <c r="C65" s="140"/>
      <c r="D65" s="140"/>
      <c r="E65" s="192"/>
      <c r="F65" s="140"/>
      <c r="G65" s="139"/>
      <c r="H65" s="189" t="s">
        <v>109</v>
      </c>
      <c r="I65" s="190" t="s">
        <v>110</v>
      </c>
      <c r="J65" s="189" t="s">
        <v>111</v>
      </c>
      <c r="K65" s="139"/>
      <c r="L65" s="140"/>
      <c r="M65" s="140"/>
      <c r="N65" s="192"/>
      <c r="O65" s="140"/>
      <c r="P65" s="140"/>
      <c r="Q65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65" s="141"/>
    </row>
    <row r="66" spans="2:18" ht="39.9" customHeight="1">
      <c r="B66" s="139"/>
      <c r="C66" s="140"/>
      <c r="D66" s="140"/>
      <c r="E66" s="192"/>
      <c r="F66" s="140"/>
      <c r="G66" s="139"/>
      <c r="H66" s="189" t="s">
        <v>109</v>
      </c>
      <c r="I66" s="190" t="s">
        <v>110</v>
      </c>
      <c r="J66" s="189" t="s">
        <v>111</v>
      </c>
      <c r="K66" s="139"/>
      <c r="L66" s="140"/>
      <c r="M66" s="140"/>
      <c r="N66" s="192"/>
      <c r="O66" s="140"/>
      <c r="P66" s="140"/>
      <c r="Q66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66" s="141"/>
    </row>
    <row r="67" spans="2:18" ht="39.9" customHeight="1">
      <c r="B67" s="139"/>
      <c r="C67" s="140"/>
      <c r="D67" s="140"/>
      <c r="E67" s="192"/>
      <c r="F67" s="140"/>
      <c r="G67" s="139"/>
      <c r="H67" s="189" t="s">
        <v>109</v>
      </c>
      <c r="I67" s="190" t="s">
        <v>110</v>
      </c>
      <c r="J67" s="189" t="s">
        <v>111</v>
      </c>
      <c r="K67" s="139"/>
      <c r="L67" s="140"/>
      <c r="M67" s="140"/>
      <c r="N67" s="192"/>
      <c r="O67" s="140"/>
      <c r="P67" s="140"/>
      <c r="Q67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67" s="141"/>
    </row>
    <row r="68" spans="2:18" ht="39.9" customHeight="1">
      <c r="B68" s="139"/>
      <c r="C68" s="140"/>
      <c r="D68" s="140"/>
      <c r="E68" s="192"/>
      <c r="F68" s="140"/>
      <c r="G68" s="139"/>
      <c r="H68" s="189" t="s">
        <v>109</v>
      </c>
      <c r="I68" s="190" t="s">
        <v>110</v>
      </c>
      <c r="J68" s="189" t="s">
        <v>111</v>
      </c>
      <c r="K68" s="139"/>
      <c r="L68" s="140"/>
      <c r="M68" s="140"/>
      <c r="N68" s="192"/>
      <c r="O68" s="140"/>
      <c r="P68" s="140"/>
      <c r="Q68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68" s="141"/>
    </row>
    <row r="69" spans="2:18" ht="39.9" customHeight="1">
      <c r="B69" s="139"/>
      <c r="C69" s="140"/>
      <c r="D69" s="140"/>
      <c r="E69" s="192"/>
      <c r="F69" s="140"/>
      <c r="G69" s="139"/>
      <c r="H69" s="189" t="s">
        <v>109</v>
      </c>
      <c r="I69" s="190" t="s">
        <v>110</v>
      </c>
      <c r="J69" s="189" t="s">
        <v>111</v>
      </c>
      <c r="K69" s="139"/>
      <c r="L69" s="140"/>
      <c r="M69" s="140"/>
      <c r="N69" s="192"/>
      <c r="O69" s="140"/>
      <c r="P69" s="140"/>
      <c r="Q69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69" s="141"/>
    </row>
    <row r="70" spans="2:18" ht="39.9" customHeight="1">
      <c r="B70" s="139"/>
      <c r="C70" s="140"/>
      <c r="D70" s="140"/>
      <c r="E70" s="192"/>
      <c r="F70" s="140"/>
      <c r="G70" s="139"/>
      <c r="H70" s="189" t="s">
        <v>109</v>
      </c>
      <c r="I70" s="190" t="s">
        <v>110</v>
      </c>
      <c r="J70" s="189" t="s">
        <v>111</v>
      </c>
      <c r="K70" s="139"/>
      <c r="L70" s="140"/>
      <c r="M70" s="140"/>
      <c r="N70" s="192"/>
      <c r="O70" s="192"/>
      <c r="P70" s="140"/>
      <c r="Q70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70" s="141"/>
    </row>
    <row r="71" spans="2:18" ht="39.9" customHeight="1">
      <c r="B71" s="139"/>
      <c r="C71" s="140"/>
      <c r="D71" s="140"/>
      <c r="E71" s="192"/>
      <c r="F71" s="140"/>
      <c r="G71" s="139"/>
      <c r="H71" s="189" t="s">
        <v>109</v>
      </c>
      <c r="I71" s="190" t="s">
        <v>110</v>
      </c>
      <c r="J71" s="189" t="s">
        <v>111</v>
      </c>
      <c r="K71" s="139"/>
      <c r="L71" s="140"/>
      <c r="M71" s="140"/>
      <c r="N71" s="192"/>
      <c r="O71" s="140"/>
      <c r="P71" s="140"/>
      <c r="Q71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71" s="141"/>
    </row>
    <row r="72" spans="2:18" ht="39.9" customHeight="1">
      <c r="B72" s="139"/>
      <c r="C72" s="140"/>
      <c r="D72" s="140"/>
      <c r="E72" s="192"/>
      <c r="F72" s="140"/>
      <c r="G72" s="139"/>
      <c r="H72" s="189" t="s">
        <v>109</v>
      </c>
      <c r="I72" s="190" t="s">
        <v>110</v>
      </c>
      <c r="J72" s="189" t="s">
        <v>111</v>
      </c>
      <c r="K72" s="139"/>
      <c r="L72" s="140"/>
      <c r="M72" s="140"/>
      <c r="N72" s="192"/>
      <c r="O72" s="192"/>
      <c r="P72" s="140"/>
      <c r="Q72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72" s="141"/>
    </row>
    <row r="73" spans="2:18" ht="39.9" customHeight="1">
      <c r="B73" s="139"/>
      <c r="C73" s="140"/>
      <c r="D73" s="140"/>
      <c r="E73" s="192"/>
      <c r="F73" s="140"/>
      <c r="G73" s="139"/>
      <c r="H73" s="189" t="s">
        <v>109</v>
      </c>
      <c r="I73" s="190" t="s">
        <v>110</v>
      </c>
      <c r="J73" s="189" t="s">
        <v>111</v>
      </c>
      <c r="K73" s="139"/>
      <c r="L73" s="140"/>
      <c r="M73" s="140"/>
      <c r="N73" s="192"/>
      <c r="O73" s="140"/>
      <c r="P73" s="140"/>
      <c r="Q73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73" s="141"/>
    </row>
    <row r="74" spans="2:18" ht="39.9" customHeight="1">
      <c r="B74" s="139"/>
      <c r="C74" s="140"/>
      <c r="D74" s="140"/>
      <c r="E74" s="192"/>
      <c r="F74" s="140"/>
      <c r="G74" s="139"/>
      <c r="H74" s="189" t="s">
        <v>109</v>
      </c>
      <c r="I74" s="190" t="s">
        <v>110</v>
      </c>
      <c r="J74" s="189" t="s">
        <v>111</v>
      </c>
      <c r="K74" s="139"/>
      <c r="L74" s="140"/>
      <c r="M74" s="140"/>
      <c r="N74" s="192"/>
      <c r="O74" s="140"/>
      <c r="P74" s="140"/>
      <c r="Q74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74" s="141"/>
    </row>
    <row r="75" spans="2:18" ht="39.9" customHeight="1">
      <c r="B75" s="139"/>
      <c r="C75" s="140"/>
      <c r="D75" s="140"/>
      <c r="E75" s="192"/>
      <c r="F75" s="140"/>
      <c r="G75" s="139"/>
      <c r="H75" s="189" t="s">
        <v>109</v>
      </c>
      <c r="I75" s="190" t="s">
        <v>110</v>
      </c>
      <c r="J75" s="189" t="s">
        <v>111</v>
      </c>
      <c r="K75" s="139"/>
      <c r="L75" s="140"/>
      <c r="M75" s="140"/>
      <c r="N75" s="192"/>
      <c r="O75" s="140"/>
      <c r="P75" s="140"/>
      <c r="Q75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75" s="141"/>
    </row>
    <row r="76" spans="2:18" ht="39.9" customHeight="1">
      <c r="B76" s="139"/>
      <c r="C76" s="140"/>
      <c r="D76" s="140"/>
      <c r="E76" s="192"/>
      <c r="F76" s="140"/>
      <c r="G76" s="139"/>
      <c r="H76" s="189" t="s">
        <v>109</v>
      </c>
      <c r="I76" s="190" t="s">
        <v>110</v>
      </c>
      <c r="J76" s="189" t="s">
        <v>111</v>
      </c>
      <c r="K76" s="139"/>
      <c r="L76" s="140"/>
      <c r="M76" s="140"/>
      <c r="N76" s="192"/>
      <c r="O76" s="140"/>
      <c r="P76" s="140"/>
      <c r="Q76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76" s="141"/>
    </row>
    <row r="77" spans="2:18" ht="39.9" customHeight="1">
      <c r="B77" s="139"/>
      <c r="C77" s="140"/>
      <c r="D77" s="140"/>
      <c r="E77" s="192"/>
      <c r="F77" s="140"/>
      <c r="G77" s="139"/>
      <c r="H77" s="189" t="s">
        <v>109</v>
      </c>
      <c r="I77" s="190" t="s">
        <v>110</v>
      </c>
      <c r="J77" s="189" t="s">
        <v>111</v>
      </c>
      <c r="K77" s="139"/>
      <c r="L77" s="140"/>
      <c r="M77" s="140"/>
      <c r="N77" s="192"/>
      <c r="O77" s="140"/>
      <c r="P77" s="140"/>
      <c r="Q77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77" s="141"/>
    </row>
    <row r="78" spans="2:18" ht="39.9" customHeight="1">
      <c r="B78" s="139"/>
      <c r="C78" s="140"/>
      <c r="D78" s="140"/>
      <c r="E78" s="192"/>
      <c r="F78" s="140"/>
      <c r="G78" s="139"/>
      <c r="H78" s="189" t="s">
        <v>109</v>
      </c>
      <c r="I78" s="190" t="s">
        <v>110</v>
      </c>
      <c r="J78" s="189" t="s">
        <v>111</v>
      </c>
      <c r="K78" s="139"/>
      <c r="L78" s="140"/>
      <c r="M78" s="140"/>
      <c r="N78" s="192"/>
      <c r="O78" s="140"/>
      <c r="P78" s="140"/>
      <c r="Q78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78" s="141"/>
    </row>
    <row r="79" spans="2:18" ht="39.9" customHeight="1">
      <c r="B79" s="139"/>
      <c r="C79" s="140"/>
      <c r="D79" s="140"/>
      <c r="E79" s="192"/>
      <c r="F79" s="140"/>
      <c r="G79" s="139"/>
      <c r="H79" s="189" t="s">
        <v>109</v>
      </c>
      <c r="I79" s="190" t="s">
        <v>110</v>
      </c>
      <c r="J79" s="189" t="s">
        <v>111</v>
      </c>
      <c r="K79" s="139"/>
      <c r="L79" s="140"/>
      <c r="M79" s="140"/>
      <c r="N79" s="192"/>
      <c r="O79" s="140"/>
      <c r="P79" s="140"/>
      <c r="Q79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79" s="141"/>
    </row>
    <row r="80" spans="2:18" ht="39.9" customHeight="1">
      <c r="B80" s="139"/>
      <c r="C80" s="140"/>
      <c r="D80" s="140"/>
      <c r="E80" s="192"/>
      <c r="F80" s="140"/>
      <c r="G80" s="139"/>
      <c r="H80" s="189" t="s">
        <v>109</v>
      </c>
      <c r="I80" s="190" t="s">
        <v>110</v>
      </c>
      <c r="J80" s="189" t="s">
        <v>111</v>
      </c>
      <c r="K80" s="139"/>
      <c r="L80" s="140"/>
      <c r="M80" s="140"/>
      <c r="N80" s="192"/>
      <c r="O80" s="140"/>
      <c r="P80" s="140"/>
      <c r="Q80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80" s="141"/>
    </row>
    <row r="81" spans="2:18" ht="39.9" customHeight="1">
      <c r="B81" s="139"/>
      <c r="C81" s="140"/>
      <c r="D81" s="140"/>
      <c r="E81" s="192"/>
      <c r="F81" s="140"/>
      <c r="G81" s="139"/>
      <c r="H81" s="189" t="s">
        <v>109</v>
      </c>
      <c r="I81" s="190" t="s">
        <v>110</v>
      </c>
      <c r="J81" s="189" t="s">
        <v>111</v>
      </c>
      <c r="K81" s="139"/>
      <c r="L81" s="140"/>
      <c r="M81" s="140"/>
      <c r="N81" s="192"/>
      <c r="O81" s="140"/>
      <c r="P81" s="140"/>
      <c r="Q81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81" s="141"/>
    </row>
    <row r="82" spans="2:18" ht="39.9" customHeight="1">
      <c r="B82" s="139"/>
      <c r="C82" s="140"/>
      <c r="D82" s="140"/>
      <c r="E82" s="192"/>
      <c r="F82" s="140"/>
      <c r="G82" s="139"/>
      <c r="H82" s="189" t="s">
        <v>109</v>
      </c>
      <c r="I82" s="190" t="s">
        <v>110</v>
      </c>
      <c r="J82" s="189" t="s">
        <v>111</v>
      </c>
      <c r="K82" s="139"/>
      <c r="L82" s="140"/>
      <c r="M82" s="140"/>
      <c r="N82" s="192"/>
      <c r="O82" s="140"/>
      <c r="P82" s="140"/>
      <c r="Q82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82" s="141"/>
    </row>
    <row r="83" spans="2:18" ht="39.9" customHeight="1">
      <c r="B83" s="139"/>
      <c r="C83" s="140"/>
      <c r="D83" s="140"/>
      <c r="E83" s="192"/>
      <c r="F83" s="140"/>
      <c r="G83" s="139"/>
      <c r="H83" s="189" t="s">
        <v>109</v>
      </c>
      <c r="I83" s="190" t="s">
        <v>110</v>
      </c>
      <c r="J83" s="189" t="s">
        <v>111</v>
      </c>
      <c r="K83" s="139"/>
      <c r="L83" s="140"/>
      <c r="M83" s="140"/>
      <c r="N83" s="192"/>
      <c r="O83" s="140"/>
      <c r="P83" s="140"/>
      <c r="Q83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83" s="141"/>
    </row>
    <row r="84" spans="2:18" ht="39.9" customHeight="1">
      <c r="B84" s="139"/>
      <c r="C84" s="140"/>
      <c r="D84" s="140"/>
      <c r="E84" s="192"/>
      <c r="F84" s="140"/>
      <c r="G84" s="139"/>
      <c r="H84" s="189" t="s">
        <v>109</v>
      </c>
      <c r="I84" s="190" t="s">
        <v>110</v>
      </c>
      <c r="J84" s="189" t="s">
        <v>111</v>
      </c>
      <c r="K84" s="139"/>
      <c r="L84" s="140"/>
      <c r="M84" s="140"/>
      <c r="N84" s="192"/>
      <c r="O84" s="192"/>
      <c r="P84" s="140"/>
      <c r="Q84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84" s="141"/>
    </row>
    <row r="85" spans="2:18" ht="39.9" customHeight="1">
      <c r="B85" s="139"/>
      <c r="C85" s="140"/>
      <c r="D85" s="140"/>
      <c r="E85" s="192"/>
      <c r="F85" s="140"/>
      <c r="G85" s="139"/>
      <c r="H85" s="189" t="s">
        <v>109</v>
      </c>
      <c r="I85" s="190" t="s">
        <v>110</v>
      </c>
      <c r="J85" s="189" t="s">
        <v>111</v>
      </c>
      <c r="K85" s="139"/>
      <c r="L85" s="140"/>
      <c r="M85" s="140"/>
      <c r="N85" s="192"/>
      <c r="O85" s="140"/>
      <c r="P85" s="140"/>
      <c r="Q85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85" s="141"/>
    </row>
    <row r="86" spans="2:18" ht="39.9" customHeight="1">
      <c r="B86" s="139"/>
      <c r="C86" s="140"/>
      <c r="D86" s="140"/>
      <c r="E86" s="192"/>
      <c r="F86" s="140"/>
      <c r="G86" s="139"/>
      <c r="H86" s="189" t="s">
        <v>109</v>
      </c>
      <c r="I86" s="190" t="s">
        <v>110</v>
      </c>
      <c r="J86" s="189" t="s">
        <v>111</v>
      </c>
      <c r="K86" s="139"/>
      <c r="L86" s="140"/>
      <c r="M86" s="140"/>
      <c r="N86" s="192"/>
      <c r="O86" s="140"/>
      <c r="P86" s="140"/>
      <c r="Q86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86" s="141"/>
    </row>
    <row r="87" spans="2:18" ht="39.9" customHeight="1">
      <c r="B87" s="139"/>
      <c r="C87" s="140"/>
      <c r="D87" s="140"/>
      <c r="E87" s="192"/>
      <c r="F87" s="140"/>
      <c r="G87" s="139"/>
      <c r="H87" s="189" t="s">
        <v>109</v>
      </c>
      <c r="I87" s="190" t="s">
        <v>110</v>
      </c>
      <c r="J87" s="189" t="s">
        <v>111</v>
      </c>
      <c r="K87" s="139"/>
      <c r="L87" s="140"/>
      <c r="M87" s="140"/>
      <c r="N87" s="192"/>
      <c r="O87" s="140"/>
      <c r="P87" s="140"/>
      <c r="Q87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87" s="141"/>
    </row>
    <row r="88" spans="2:18" ht="39.9" customHeight="1">
      <c r="B88" s="139"/>
      <c r="C88" s="140"/>
      <c r="D88" s="140"/>
      <c r="E88" s="192"/>
      <c r="F88" s="140"/>
      <c r="G88" s="139"/>
      <c r="H88" s="189" t="s">
        <v>109</v>
      </c>
      <c r="I88" s="190" t="s">
        <v>110</v>
      </c>
      <c r="J88" s="189" t="s">
        <v>111</v>
      </c>
      <c r="K88" s="139"/>
      <c r="L88" s="140"/>
      <c r="M88" s="140"/>
      <c r="N88" s="192"/>
      <c r="O88" s="140"/>
      <c r="P88" s="140"/>
      <c r="Q88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88" s="141"/>
    </row>
    <row r="89" spans="2:18" ht="39.9" customHeight="1">
      <c r="B89" s="139"/>
      <c r="C89" s="140"/>
      <c r="D89" s="140"/>
      <c r="E89" s="192"/>
      <c r="F89" s="140"/>
      <c r="G89" s="139"/>
      <c r="H89" s="189" t="s">
        <v>109</v>
      </c>
      <c r="I89" s="190" t="s">
        <v>110</v>
      </c>
      <c r="J89" s="189" t="s">
        <v>111</v>
      </c>
      <c r="K89" s="139"/>
      <c r="L89" s="140"/>
      <c r="M89" s="140"/>
      <c r="N89" s="192"/>
      <c r="O89" s="192"/>
      <c r="P89" s="140"/>
      <c r="Q89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89" s="141"/>
    </row>
    <row r="90" spans="2:18" ht="39.9" customHeight="1">
      <c r="B90" s="139"/>
      <c r="C90" s="140"/>
      <c r="D90" s="140"/>
      <c r="E90" s="192"/>
      <c r="F90" s="140"/>
      <c r="G90" s="139"/>
      <c r="H90" s="189" t="s">
        <v>109</v>
      </c>
      <c r="I90" s="190" t="s">
        <v>110</v>
      </c>
      <c r="J90" s="189" t="s">
        <v>111</v>
      </c>
      <c r="K90" s="139"/>
      <c r="L90" s="140"/>
      <c r="M90" s="140"/>
      <c r="N90" s="192"/>
      <c r="O90" s="192"/>
      <c r="P90" s="140"/>
      <c r="Q90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90" s="141"/>
    </row>
    <row r="91" spans="2:18" ht="39.9" customHeight="1">
      <c r="B91" s="139"/>
      <c r="C91" s="140"/>
      <c r="D91" s="140"/>
      <c r="E91" s="192"/>
      <c r="F91" s="140"/>
      <c r="G91" s="139"/>
      <c r="H91" s="189" t="s">
        <v>109</v>
      </c>
      <c r="I91" s="190" t="s">
        <v>110</v>
      </c>
      <c r="J91" s="189" t="s">
        <v>111</v>
      </c>
      <c r="K91" s="139"/>
      <c r="L91" s="140"/>
      <c r="M91" s="140"/>
      <c r="N91" s="192"/>
      <c r="O91" s="192"/>
      <c r="P91" s="140"/>
      <c r="Q91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91" s="141"/>
    </row>
    <row r="92" spans="2:18" ht="39.9" customHeight="1">
      <c r="B92" s="139"/>
      <c r="C92" s="140"/>
      <c r="D92" s="140"/>
      <c r="E92" s="192"/>
      <c r="F92" s="140"/>
      <c r="G92" s="139"/>
      <c r="H92" s="189" t="s">
        <v>109</v>
      </c>
      <c r="I92" s="190" t="s">
        <v>110</v>
      </c>
      <c r="J92" s="189" t="s">
        <v>111</v>
      </c>
      <c r="K92" s="139"/>
      <c r="L92" s="140"/>
      <c r="M92" s="140"/>
      <c r="N92" s="192"/>
      <c r="O92" s="192"/>
      <c r="P92" s="140"/>
      <c r="Q92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92" s="141"/>
    </row>
    <row r="93" spans="2:18" ht="39.9" customHeight="1">
      <c r="B93" s="139"/>
      <c r="C93" s="140"/>
      <c r="D93" s="140"/>
      <c r="E93" s="192"/>
      <c r="F93" s="140"/>
      <c r="G93" s="139"/>
      <c r="H93" s="189" t="s">
        <v>109</v>
      </c>
      <c r="I93" s="190" t="s">
        <v>110</v>
      </c>
      <c r="J93" s="189" t="s">
        <v>111</v>
      </c>
      <c r="K93" s="139"/>
      <c r="L93" s="140"/>
      <c r="M93" s="140"/>
      <c r="N93" s="192"/>
      <c r="O93" s="192"/>
      <c r="P93" s="140"/>
      <c r="Q93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93" s="141"/>
    </row>
    <row r="94" spans="2:18" ht="39.9" customHeight="1">
      <c r="B94" s="139"/>
      <c r="C94" s="140"/>
      <c r="D94" s="140"/>
      <c r="E94" s="192"/>
      <c r="F94" s="140"/>
      <c r="G94" s="139"/>
      <c r="H94" s="189" t="s">
        <v>109</v>
      </c>
      <c r="I94" s="190" t="s">
        <v>110</v>
      </c>
      <c r="J94" s="189" t="s">
        <v>111</v>
      </c>
      <c r="K94" s="139"/>
      <c r="L94" s="140"/>
      <c r="M94" s="140"/>
      <c r="N94" s="192"/>
      <c r="O94" s="192"/>
      <c r="P94" s="140"/>
      <c r="Q94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94" s="141"/>
    </row>
    <row r="95" spans="2:18" ht="39.9" customHeight="1">
      <c r="B95" s="139"/>
      <c r="C95" s="140"/>
      <c r="D95" s="140"/>
      <c r="E95" s="192"/>
      <c r="F95" s="140"/>
      <c r="G95" s="139"/>
      <c r="H95" s="189" t="s">
        <v>109</v>
      </c>
      <c r="I95" s="190" t="s">
        <v>110</v>
      </c>
      <c r="J95" s="189" t="s">
        <v>111</v>
      </c>
      <c r="K95" s="139"/>
      <c r="L95" s="140"/>
      <c r="M95" s="140"/>
      <c r="N95" s="192"/>
      <c r="O95" s="192"/>
      <c r="P95" s="140"/>
      <c r="Q95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95" s="141"/>
    </row>
    <row r="96" spans="2:18" ht="39.9" customHeight="1">
      <c r="B96" s="139"/>
      <c r="C96" s="140"/>
      <c r="D96" s="140"/>
      <c r="E96" s="192"/>
      <c r="F96" s="140"/>
      <c r="G96" s="139"/>
      <c r="H96" s="189" t="s">
        <v>109</v>
      </c>
      <c r="I96" s="190" t="s">
        <v>110</v>
      </c>
      <c r="J96" s="189" t="s">
        <v>111</v>
      </c>
      <c r="K96" s="139"/>
      <c r="L96" s="140"/>
      <c r="M96" s="140"/>
      <c r="N96" s="192"/>
      <c r="O96" s="140"/>
      <c r="P96" s="140"/>
      <c r="Q96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96" s="141"/>
    </row>
    <row r="97" spans="2:18" ht="39.9" customHeight="1">
      <c r="B97" s="139"/>
      <c r="C97" s="140"/>
      <c r="D97" s="140"/>
      <c r="E97" s="192"/>
      <c r="F97" s="140"/>
      <c r="G97" s="139"/>
      <c r="H97" s="189" t="s">
        <v>109</v>
      </c>
      <c r="I97" s="190" t="s">
        <v>110</v>
      </c>
      <c r="J97" s="189" t="s">
        <v>111</v>
      </c>
      <c r="K97" s="139"/>
      <c r="L97" s="140"/>
      <c r="M97" s="140"/>
      <c r="N97" s="192"/>
      <c r="O97" s="140"/>
      <c r="P97" s="140"/>
      <c r="Q97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97" s="141"/>
    </row>
    <row r="98" spans="2:18" ht="39.9" customHeight="1">
      <c r="B98" s="139"/>
      <c r="C98" s="140"/>
      <c r="D98" s="140"/>
      <c r="E98" s="192"/>
      <c r="F98" s="140"/>
      <c r="G98" s="139"/>
      <c r="H98" s="189" t="s">
        <v>109</v>
      </c>
      <c r="I98" s="190" t="s">
        <v>110</v>
      </c>
      <c r="J98" s="189" t="s">
        <v>111</v>
      </c>
      <c r="K98" s="139"/>
      <c r="L98" s="140"/>
      <c r="M98" s="140"/>
      <c r="N98" s="192"/>
      <c r="O98" s="140"/>
      <c r="P98" s="140"/>
      <c r="Q98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98" s="141"/>
    </row>
    <row r="99" spans="2:18" ht="39.9" customHeight="1">
      <c r="B99" s="139"/>
      <c r="C99" s="140"/>
      <c r="D99" s="140"/>
      <c r="E99" s="192"/>
      <c r="F99" s="140"/>
      <c r="G99" s="139"/>
      <c r="H99" s="189" t="s">
        <v>109</v>
      </c>
      <c r="I99" s="190" t="s">
        <v>110</v>
      </c>
      <c r="J99" s="189" t="s">
        <v>111</v>
      </c>
      <c r="K99" s="139"/>
      <c r="L99" s="140"/>
      <c r="M99" s="140"/>
      <c r="N99" s="192"/>
      <c r="O99" s="140"/>
      <c r="P99" s="140"/>
      <c r="Q99" s="193" t="str">
        <f>IFERROR(((VLOOKUP(Table13[[#This Row],[Confidencialidade]],'02.Critérios de Valorização'!$D$4:$E$7,2,FALSE))+(VLOOKUP(Table13[[#This Row],[Integridade]],'02.Critérios de Valorização'!$D$8:$E$11,2,FALSE))+(VLOOKUP(Table13[[#This Row],[Disponibilidade]],'02.Critérios de Valorização'!$D$12:$E$15,2,FALSE))+(VLOOKUP(Table13[[#This Row],[Impacto Financeiro]],'02.Critérios de Valorização'!$D$16:$E$19,2,FALSE))+(VLOOKUP(Table13[[#This Row],[Relevância para o Negócio]],'02.Critérios de Valorização'!$D$20:$E$23,2,FALSE)))/5,"")</f>
        <v/>
      </c>
      <c r="R99" s="141"/>
    </row>
    <row r="100" spans="2:18">
      <c r="B100" s="139"/>
    </row>
    <row r="101" spans="2:18">
      <c r="B101" s="139"/>
    </row>
    <row r="102" spans="2:18">
      <c r="B102" s="139"/>
    </row>
    <row r="103" spans="2:18">
      <c r="B103" s="139"/>
    </row>
    <row r="104" spans="2:18">
      <c r="B104" s="139"/>
    </row>
    <row r="105" spans="2:18">
      <c r="B105" s="139"/>
    </row>
    <row r="106" spans="2:18">
      <c r="B106" s="139"/>
    </row>
    <row r="107" spans="2:18">
      <c r="B107" s="139"/>
    </row>
    <row r="108" spans="2:18">
      <c r="B108" s="139"/>
    </row>
    <row r="109" spans="2:18">
      <c r="B109" s="139"/>
    </row>
    <row r="110" spans="2:18">
      <c r="B110" s="139"/>
    </row>
    <row r="111" spans="2:18">
      <c r="B111" s="139"/>
    </row>
    <row r="112" spans="2:18">
      <c r="B112" s="139"/>
    </row>
    <row r="113" spans="2:2">
      <c r="B113" s="139"/>
    </row>
    <row r="114" spans="2:2">
      <c r="B114" s="139"/>
    </row>
    <row r="115" spans="2:2">
      <c r="B115" s="139"/>
    </row>
    <row r="116" spans="2:2">
      <c r="B116" s="139"/>
    </row>
    <row r="117" spans="2:2">
      <c r="B117" s="139"/>
    </row>
    <row r="118" spans="2:2">
      <c r="B118" s="139"/>
    </row>
    <row r="119" spans="2:2">
      <c r="B119" s="139"/>
    </row>
    <row r="120" spans="2:2">
      <c r="B120" s="139"/>
    </row>
    <row r="121" spans="2:2">
      <c r="B121" s="139"/>
    </row>
    <row r="122" spans="2:2">
      <c r="B122" s="139"/>
    </row>
    <row r="123" spans="2:2">
      <c r="B123" s="139"/>
    </row>
    <row r="124" spans="2:2">
      <c r="B124" s="139"/>
    </row>
    <row r="125" spans="2:2">
      <c r="B125" s="139"/>
    </row>
    <row r="126" spans="2:2">
      <c r="B126" s="139"/>
    </row>
    <row r="127" spans="2:2">
      <c r="B127" s="139"/>
    </row>
    <row r="128" spans="2:2">
      <c r="B128" s="139"/>
    </row>
    <row r="129" spans="2:2">
      <c r="B129" s="139"/>
    </row>
    <row r="130" spans="2:2">
      <c r="B130" s="139"/>
    </row>
    <row r="131" spans="2:2">
      <c r="B131" s="139"/>
    </row>
    <row r="132" spans="2:2">
      <c r="B132" s="139"/>
    </row>
    <row r="133" spans="2:2">
      <c r="B133" s="139"/>
    </row>
    <row r="134" spans="2:2">
      <c r="B134" s="139"/>
    </row>
    <row r="135" spans="2:2">
      <c r="B135" s="139"/>
    </row>
    <row r="136" spans="2:2">
      <c r="B136" s="139"/>
    </row>
    <row r="137" spans="2:2">
      <c r="B137" s="139"/>
    </row>
    <row r="138" spans="2:2">
      <c r="B138" s="139"/>
    </row>
    <row r="139" spans="2:2">
      <c r="B139" s="139"/>
    </row>
    <row r="140" spans="2:2">
      <c r="B140" s="139"/>
    </row>
    <row r="141" spans="2:2">
      <c r="B141" s="139"/>
    </row>
    <row r="142" spans="2:2">
      <c r="B142" s="139"/>
    </row>
    <row r="143" spans="2:2">
      <c r="B143" s="139"/>
    </row>
    <row r="144" spans="2:2">
      <c r="B144" s="139"/>
    </row>
    <row r="145" spans="2:2">
      <c r="B145" s="139"/>
    </row>
    <row r="146" spans="2:2">
      <c r="B146" s="139"/>
    </row>
    <row r="147" spans="2:2">
      <c r="B147" s="139"/>
    </row>
    <row r="148" spans="2:2">
      <c r="B148" s="139"/>
    </row>
    <row r="149" spans="2:2">
      <c r="B149" s="139"/>
    </row>
    <row r="150" spans="2:2">
      <c r="B150" s="139"/>
    </row>
    <row r="151" spans="2:2">
      <c r="B151" s="139"/>
    </row>
    <row r="152" spans="2:2">
      <c r="B152" s="139"/>
    </row>
    <row r="153" spans="2:2">
      <c r="B153" s="139"/>
    </row>
    <row r="154" spans="2:2">
      <c r="B154" s="139"/>
    </row>
    <row r="155" spans="2:2">
      <c r="B155" s="139"/>
    </row>
    <row r="156" spans="2:2">
      <c r="B156" s="139"/>
    </row>
    <row r="157" spans="2:2">
      <c r="B157" s="139"/>
    </row>
    <row r="158" spans="2:2">
      <c r="B158" s="139"/>
    </row>
    <row r="159" spans="2:2">
      <c r="B159" s="139"/>
    </row>
    <row r="160" spans="2:2">
      <c r="B160" s="139"/>
    </row>
    <row r="161" spans="2:2">
      <c r="B161" s="139"/>
    </row>
    <row r="162" spans="2:2">
      <c r="B162" s="139"/>
    </row>
    <row r="163" spans="2:2">
      <c r="B163" s="139"/>
    </row>
    <row r="164" spans="2:2">
      <c r="B164" s="139"/>
    </row>
    <row r="165" spans="2:2">
      <c r="B165" s="139"/>
    </row>
    <row r="166" spans="2:2">
      <c r="B166" s="139"/>
    </row>
    <row r="167" spans="2:2">
      <c r="B167" s="139"/>
    </row>
    <row r="168" spans="2:2">
      <c r="B168" s="139"/>
    </row>
    <row r="169" spans="2:2">
      <c r="B169" s="139"/>
    </row>
    <row r="170" spans="2:2">
      <c r="B170" s="139"/>
    </row>
    <row r="171" spans="2:2">
      <c r="B171" s="139"/>
    </row>
    <row r="172" spans="2:2">
      <c r="B172" s="139"/>
    </row>
  </sheetData>
  <dataConsolidate function="product"/>
  <mergeCells count="2">
    <mergeCell ref="L3:N3"/>
    <mergeCell ref="O3:P3"/>
  </mergeCells>
  <phoneticPr fontId="9" type="noConversion"/>
  <dataValidations count="1">
    <dataValidation allowBlank="1" showInputMessage="1" showErrorMessage="1" promptTitle="Valorização do Ativo" prompt="Corresponde ao valor médio dos cinco factores - Confidencialidade, Integridade, Disponibilidade, Impacto Financeiro, Relevância para o Negócio." sqref="Q4" xr:uid="{D604DC7E-7594-47B2-BAF8-C642FB1BDDA2}"/>
  </dataValidations>
  <printOptions horizontalCentered="1"/>
  <pageMargins left="0.39370078740157483" right="0.39370078740157483" top="0.39370078740157483" bottom="0.39370078740157483" header="0.51181102362204722" footer="0.51181102362204722"/>
  <pageSetup paperSize="9" scale="32" fitToHeight="0" orientation="landscape" horizontalDpi="1200" verticalDpi="1200" r:id="rId1"/>
  <headerFooter alignWithMargins="0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FFB8261F-2004-47F9-B186-C67C6F4FA495}">
          <x14:formula1>
            <xm:f>'02.Critérios de Valorização'!$D$4:$D$7</xm:f>
          </x14:formula1>
          <xm:sqref>L5:L99</xm:sqref>
        </x14:dataValidation>
        <x14:dataValidation type="list" allowBlank="1" showInputMessage="1" showErrorMessage="1" xr:uid="{110DDD99-B7FE-4700-B6F2-B477D5778B89}">
          <x14:formula1>
            <xm:f>'02.Critérios de Valorização'!$D$8:$D$11</xm:f>
          </x14:formula1>
          <xm:sqref>M5:M99</xm:sqref>
        </x14:dataValidation>
        <x14:dataValidation type="list" allowBlank="1" showInputMessage="1" showErrorMessage="1" xr:uid="{C33B6D2B-1408-4114-9B38-012D1E79B4E8}">
          <x14:formula1>
            <xm:f>'02.Critérios de Valorização'!$D$12:$D$15</xm:f>
          </x14:formula1>
          <xm:sqref>N5:N99</xm:sqref>
        </x14:dataValidation>
        <x14:dataValidation type="list" allowBlank="1" showInputMessage="1" showErrorMessage="1" xr:uid="{11619A04-74EE-4ADD-A2BC-92DA9F5F1E79}">
          <x14:formula1>
            <xm:f>'02.Critérios de Valorização'!$D$16:$D$19</xm:f>
          </x14:formula1>
          <xm:sqref>O5:O99</xm:sqref>
        </x14:dataValidation>
        <x14:dataValidation type="list" allowBlank="1" showInputMessage="1" showErrorMessage="1" xr:uid="{FB281B1B-323C-4AC1-BDF9-65601A4BF276}">
          <x14:formula1>
            <xm:f>'02.Critérios de Valorização'!$D$20:$D$23</xm:f>
          </x14:formula1>
          <xm:sqref>P5:P99</xm:sqref>
        </x14:dataValidation>
        <x14:dataValidation type="list" allowBlank="1" showInputMessage="1" showErrorMessage="1" xr:uid="{1A018236-DEF6-4422-8BBE-9157F119D843}">
          <x14:formula1>
            <xm:f>'01.Categorias de Ativos'!$B$3:$B$10</xm:f>
          </x14:formula1>
          <xm:sqref>E5:E99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50850-0497-488E-9FF9-721AEF4AA1B7}">
  <sheetPr>
    <tabColor theme="4" tint="0.39997558519241921"/>
  </sheetPr>
  <dimension ref="B1:BA64"/>
  <sheetViews>
    <sheetView showGridLines="0" topLeftCell="K1" zoomScale="70" zoomScaleNormal="70" workbookViewId="0">
      <pane ySplit="3" topLeftCell="A4" activePane="bottomLeft" state="frozen"/>
      <selection pane="bottomLeft" activeCell="S13" sqref="S13"/>
    </sheetView>
  </sheetViews>
  <sheetFormatPr defaultColWidth="9.109375" defaultRowHeight="15"/>
  <cols>
    <col min="1" max="1" width="2.5546875" style="68" customWidth="1"/>
    <col min="2" max="2" width="25.5546875" style="68" customWidth="1"/>
    <col min="3" max="3" width="53.44140625" style="68" customWidth="1"/>
    <col min="4" max="4" width="12.5546875" style="68" customWidth="1"/>
    <col min="5" max="5" width="31.5546875" style="69" customWidth="1"/>
    <col min="6" max="7" width="22.5546875" style="69" customWidth="1"/>
    <col min="8" max="13" width="18.88671875" style="69" customWidth="1"/>
    <col min="14" max="14" width="4.5546875" style="68" customWidth="1"/>
    <col min="15" max="15" width="20.44140625" style="68" bestFit="1" customWidth="1"/>
    <col min="16" max="16" width="88.88671875" style="68" customWidth="1"/>
    <col min="17" max="17" width="14.44140625" style="68" customWidth="1"/>
    <col min="18" max="18" width="10.109375" style="68" customWidth="1"/>
    <col min="19" max="22" width="31.44140625" style="68" customWidth="1"/>
    <col min="23" max="24" width="10.109375" style="68" customWidth="1"/>
    <col min="25" max="25" width="24.5546875" style="68" customWidth="1"/>
    <col min="26" max="30" width="12.5546875" style="68" customWidth="1"/>
    <col min="31" max="31" width="16.5546875" style="68" customWidth="1"/>
    <col min="32" max="43" width="10.5546875" style="68" customWidth="1"/>
    <col min="44" max="44" width="9.109375" style="68"/>
    <col min="45" max="45" width="9.109375" style="68" customWidth="1"/>
    <col min="46" max="46" width="9.109375" style="69" customWidth="1"/>
    <col min="47" max="47" width="11.5546875" style="68" customWidth="1"/>
    <col min="48" max="48" width="25.88671875" style="68" customWidth="1"/>
    <col min="49" max="53" width="9.109375" style="68" customWidth="1"/>
    <col min="54" max="16384" width="9.109375" style="68"/>
  </cols>
  <sheetData>
    <row r="1" spans="2:53" ht="15.6" thickBot="1"/>
    <row r="2" spans="2:53" ht="24.75" customHeight="1">
      <c r="B2" s="226" t="s">
        <v>112</v>
      </c>
      <c r="C2" s="227"/>
      <c r="D2" s="227"/>
      <c r="E2" s="227"/>
      <c r="F2" s="227" t="s">
        <v>113</v>
      </c>
      <c r="G2" s="228"/>
      <c r="H2" s="228"/>
      <c r="I2" s="228"/>
      <c r="J2" s="228"/>
      <c r="K2" s="228"/>
      <c r="L2" s="228"/>
      <c r="M2" s="229"/>
    </row>
    <row r="3" spans="2:53" ht="51" customHeight="1" thickBot="1">
      <c r="B3" s="157" t="s">
        <v>101</v>
      </c>
      <c r="C3" s="158" t="s">
        <v>40</v>
      </c>
      <c r="D3" s="158" t="s">
        <v>114</v>
      </c>
      <c r="E3" s="159" t="s">
        <v>115</v>
      </c>
      <c r="F3" s="159" t="s">
        <v>42</v>
      </c>
      <c r="G3" s="161" t="s">
        <v>45</v>
      </c>
      <c r="H3" s="161" t="s">
        <v>47</v>
      </c>
      <c r="I3" s="161" t="s">
        <v>49</v>
      </c>
      <c r="J3" s="161" t="s">
        <v>51</v>
      </c>
      <c r="K3" s="161" t="s">
        <v>53</v>
      </c>
      <c r="L3" s="161" t="s">
        <v>55</v>
      </c>
      <c r="M3" s="162" t="s">
        <v>57</v>
      </c>
      <c r="Y3" s="235"/>
      <c r="Z3" s="235"/>
      <c r="AA3" s="235"/>
      <c r="AB3" s="235"/>
      <c r="AC3" s="235"/>
      <c r="AD3" s="235"/>
    </row>
    <row r="4" spans="2:53" ht="51.9" customHeight="1">
      <c r="B4" s="72" t="s">
        <v>116</v>
      </c>
      <c r="C4" s="69" t="s">
        <v>117</v>
      </c>
      <c r="D4" s="69" t="s">
        <v>118</v>
      </c>
      <c r="E4" s="79" t="s">
        <v>119</v>
      </c>
      <c r="F4" s="70"/>
      <c r="G4" s="77"/>
      <c r="H4" s="77" t="s">
        <v>120</v>
      </c>
      <c r="I4" s="77"/>
      <c r="J4" s="77" t="s">
        <v>120</v>
      </c>
      <c r="K4" s="77"/>
      <c r="L4" s="77" t="s">
        <v>120</v>
      </c>
      <c r="M4" s="71"/>
      <c r="O4" s="234" t="s">
        <v>121</v>
      </c>
      <c r="P4" s="234"/>
      <c r="Q4" s="234"/>
      <c r="R4" s="109"/>
      <c r="S4" s="225" t="s">
        <v>122</v>
      </c>
      <c r="T4" s="225"/>
      <c r="U4" s="225"/>
      <c r="V4" s="225"/>
      <c r="X4" s="232" t="s">
        <v>123</v>
      </c>
      <c r="Y4" s="84" t="s">
        <v>124</v>
      </c>
      <c r="Z4" s="88">
        <v>5</v>
      </c>
      <c r="AA4" s="88">
        <v>10</v>
      </c>
      <c r="AB4" s="89">
        <v>15</v>
      </c>
      <c r="AC4" s="89">
        <v>20</v>
      </c>
      <c r="AD4" s="89">
        <v>25</v>
      </c>
      <c r="AI4" s="127"/>
      <c r="AJ4" s="127"/>
      <c r="AK4" s="127"/>
      <c r="AL4" s="127"/>
      <c r="AS4" s="127">
        <v>1</v>
      </c>
      <c r="AT4" s="183" t="s">
        <v>125</v>
      </c>
      <c r="AU4" s="69" t="s">
        <v>126</v>
      </c>
      <c r="AV4" s="69" t="s">
        <v>127</v>
      </c>
      <c r="AZ4" s="183" t="s">
        <v>125</v>
      </c>
      <c r="BA4" s="69" t="s">
        <v>128</v>
      </c>
    </row>
    <row r="5" spans="2:53" ht="51.75" customHeight="1">
      <c r="B5" s="72"/>
      <c r="C5" s="69" t="s">
        <v>129</v>
      </c>
      <c r="D5" s="69" t="s">
        <v>130</v>
      </c>
      <c r="E5" s="80" t="s">
        <v>119</v>
      </c>
      <c r="F5" s="72"/>
      <c r="H5" s="69" t="s">
        <v>120</v>
      </c>
      <c r="J5" s="69" t="s">
        <v>120</v>
      </c>
      <c r="L5" s="69" t="s">
        <v>120</v>
      </c>
      <c r="M5" s="73"/>
      <c r="O5" s="164" t="s">
        <v>61</v>
      </c>
      <c r="P5" s="116" t="s">
        <v>40</v>
      </c>
      <c r="Q5" s="116" t="s">
        <v>62</v>
      </c>
      <c r="R5" s="110"/>
      <c r="S5" s="117" t="s">
        <v>125</v>
      </c>
      <c r="T5" s="118" t="s">
        <v>131</v>
      </c>
      <c r="U5" s="119" t="s">
        <v>75</v>
      </c>
      <c r="V5" s="120" t="s">
        <v>73</v>
      </c>
      <c r="X5" s="233"/>
      <c r="Y5" s="84" t="s">
        <v>132</v>
      </c>
      <c r="Z5" s="87">
        <v>4</v>
      </c>
      <c r="AA5" s="88">
        <v>8</v>
      </c>
      <c r="AB5" s="88">
        <v>12</v>
      </c>
      <c r="AC5" s="89">
        <v>16</v>
      </c>
      <c r="AD5" s="89">
        <v>20</v>
      </c>
      <c r="AI5" s="127"/>
      <c r="AJ5" s="127"/>
      <c r="AK5" s="127"/>
      <c r="AL5" s="127"/>
      <c r="AS5" s="127">
        <v>2</v>
      </c>
      <c r="AT5" s="183" t="s">
        <v>125</v>
      </c>
      <c r="AU5" s="69" t="s">
        <v>126</v>
      </c>
      <c r="AV5" s="69" t="s">
        <v>127</v>
      </c>
      <c r="AZ5" s="183" t="s">
        <v>131</v>
      </c>
      <c r="BA5" s="69" t="s">
        <v>133</v>
      </c>
    </row>
    <row r="6" spans="2:53" ht="51.9" customHeight="1">
      <c r="B6" s="72"/>
      <c r="C6" s="69" t="s">
        <v>134</v>
      </c>
      <c r="D6" s="69" t="s">
        <v>135</v>
      </c>
      <c r="E6" s="80" t="s">
        <v>119</v>
      </c>
      <c r="F6" s="72"/>
      <c r="H6" s="69" t="s">
        <v>120</v>
      </c>
      <c r="J6" s="69" t="s">
        <v>120</v>
      </c>
      <c r="L6" s="69" t="s">
        <v>120</v>
      </c>
      <c r="M6" s="73"/>
      <c r="O6" s="111" t="s">
        <v>136</v>
      </c>
      <c r="P6" s="76" t="s">
        <v>137</v>
      </c>
      <c r="Q6" s="111">
        <v>5</v>
      </c>
      <c r="R6" s="69"/>
      <c r="S6" s="236" t="s">
        <v>138</v>
      </c>
      <c r="T6" s="236" t="s">
        <v>139</v>
      </c>
      <c r="U6" s="236" t="s">
        <v>140</v>
      </c>
      <c r="V6" s="236" t="s">
        <v>141</v>
      </c>
      <c r="X6" s="233"/>
      <c r="Y6" s="84" t="s">
        <v>142</v>
      </c>
      <c r="Z6" s="87">
        <v>3</v>
      </c>
      <c r="AA6" s="88">
        <v>6</v>
      </c>
      <c r="AB6" s="88">
        <v>9</v>
      </c>
      <c r="AC6" s="88">
        <v>12</v>
      </c>
      <c r="AD6" s="89">
        <v>15</v>
      </c>
      <c r="AH6" s="69"/>
      <c r="AI6" s="127"/>
      <c r="AJ6" s="127"/>
      <c r="AK6" s="127"/>
      <c r="AL6" s="127"/>
      <c r="AS6" s="127">
        <v>3</v>
      </c>
      <c r="AT6" s="69" t="s">
        <v>131</v>
      </c>
      <c r="AU6" s="69" t="s">
        <v>143</v>
      </c>
      <c r="AV6" s="69" t="s">
        <v>144</v>
      </c>
      <c r="AZ6" s="183" t="s">
        <v>75</v>
      </c>
      <c r="BA6" s="69" t="s">
        <v>145</v>
      </c>
    </row>
    <row r="7" spans="2:53" ht="51.9" customHeight="1">
      <c r="B7" s="72"/>
      <c r="C7" s="69" t="s">
        <v>146</v>
      </c>
      <c r="D7" s="69" t="s">
        <v>147</v>
      </c>
      <c r="E7" s="80" t="s">
        <v>119</v>
      </c>
      <c r="F7" s="72"/>
      <c r="H7" s="69" t="s">
        <v>120</v>
      </c>
      <c r="J7" s="69" t="s">
        <v>120</v>
      </c>
      <c r="L7" s="69" t="s">
        <v>120</v>
      </c>
      <c r="M7" s="73"/>
      <c r="O7" s="111" t="s">
        <v>148</v>
      </c>
      <c r="P7" s="76" t="s">
        <v>149</v>
      </c>
      <c r="Q7" s="111">
        <v>4</v>
      </c>
      <c r="R7" s="69"/>
      <c r="S7" s="237"/>
      <c r="T7" s="237"/>
      <c r="U7" s="237"/>
      <c r="V7" s="237"/>
      <c r="X7" s="233"/>
      <c r="Y7" s="84" t="s">
        <v>150</v>
      </c>
      <c r="Z7" s="86">
        <v>2</v>
      </c>
      <c r="AA7" s="87">
        <v>4</v>
      </c>
      <c r="AB7" s="88">
        <v>6</v>
      </c>
      <c r="AC7" s="88">
        <v>8</v>
      </c>
      <c r="AD7" s="88">
        <v>10</v>
      </c>
      <c r="AH7" s="69"/>
      <c r="AI7" s="127"/>
      <c r="AJ7" s="127"/>
      <c r="AK7" s="127"/>
      <c r="AL7" s="127"/>
      <c r="AS7" s="127">
        <v>4</v>
      </c>
      <c r="AT7" s="69" t="s">
        <v>131</v>
      </c>
      <c r="AU7" s="69" t="s">
        <v>143</v>
      </c>
      <c r="AV7" s="69" t="s">
        <v>144</v>
      </c>
      <c r="AZ7" s="183" t="s">
        <v>73</v>
      </c>
      <c r="BA7" s="69" t="s">
        <v>151</v>
      </c>
    </row>
    <row r="8" spans="2:53" ht="51.9" customHeight="1">
      <c r="B8" s="72"/>
      <c r="C8" s="69" t="s">
        <v>152</v>
      </c>
      <c r="D8" s="69" t="s">
        <v>153</v>
      </c>
      <c r="E8" s="80" t="s">
        <v>119</v>
      </c>
      <c r="F8" s="72"/>
      <c r="H8" s="69" t="s">
        <v>120</v>
      </c>
      <c r="J8" s="69" t="s">
        <v>120</v>
      </c>
      <c r="L8" s="69" t="s">
        <v>120</v>
      </c>
      <c r="M8" s="73"/>
      <c r="O8" s="111" t="s">
        <v>154</v>
      </c>
      <c r="P8" s="76" t="s">
        <v>155</v>
      </c>
      <c r="Q8" s="111">
        <v>3</v>
      </c>
      <c r="R8" s="69"/>
      <c r="S8" s="238"/>
      <c r="T8" s="238"/>
      <c r="U8" s="238"/>
      <c r="V8" s="238"/>
      <c r="X8" s="233"/>
      <c r="Y8" s="84" t="s">
        <v>156</v>
      </c>
      <c r="Z8" s="86">
        <v>1</v>
      </c>
      <c r="AA8" s="86">
        <v>2</v>
      </c>
      <c r="AB8" s="87">
        <v>3</v>
      </c>
      <c r="AC8" s="87">
        <v>4</v>
      </c>
      <c r="AD8" s="88">
        <v>5</v>
      </c>
      <c r="AH8" s="69"/>
      <c r="AI8" s="127"/>
      <c r="AJ8" s="127"/>
      <c r="AK8" s="127"/>
      <c r="AL8" s="127"/>
      <c r="AS8" s="127">
        <v>5</v>
      </c>
      <c r="AT8" s="69" t="s">
        <v>75</v>
      </c>
      <c r="AU8" s="69" t="s">
        <v>157</v>
      </c>
      <c r="AV8" s="69" t="s">
        <v>158</v>
      </c>
    </row>
    <row r="9" spans="2:53" ht="51.9" customHeight="1" thickBot="1">
      <c r="B9" s="72"/>
      <c r="C9" s="69" t="s">
        <v>159</v>
      </c>
      <c r="D9" s="69" t="s">
        <v>160</v>
      </c>
      <c r="E9" s="81" t="s">
        <v>119</v>
      </c>
      <c r="F9" s="74"/>
      <c r="G9" s="78"/>
      <c r="H9" s="78" t="s">
        <v>120</v>
      </c>
      <c r="I9" s="78"/>
      <c r="J9" s="78" t="s">
        <v>120</v>
      </c>
      <c r="K9" s="78"/>
      <c r="L9" s="78" t="s">
        <v>120</v>
      </c>
      <c r="M9" s="75"/>
      <c r="O9" s="111" t="s">
        <v>161</v>
      </c>
      <c r="P9" s="76" t="s">
        <v>162</v>
      </c>
      <c r="Q9" s="111">
        <v>2</v>
      </c>
      <c r="R9" s="69"/>
      <c r="S9" s="85" t="s">
        <v>163</v>
      </c>
      <c r="T9" s="85" t="s">
        <v>164</v>
      </c>
      <c r="U9" s="85" t="s">
        <v>165</v>
      </c>
      <c r="V9" s="85" t="s">
        <v>166</v>
      </c>
      <c r="Z9" s="84" t="s">
        <v>167</v>
      </c>
      <c r="AA9" s="84" t="s">
        <v>168</v>
      </c>
      <c r="AB9" s="84" t="s">
        <v>169</v>
      </c>
      <c r="AC9" s="84" t="s">
        <v>170</v>
      </c>
      <c r="AD9" s="84" t="s">
        <v>171</v>
      </c>
      <c r="AI9" s="127"/>
      <c r="AJ9" s="127"/>
      <c r="AK9" s="127"/>
      <c r="AL9" s="127"/>
      <c r="AS9" s="127">
        <v>6</v>
      </c>
      <c r="AT9" s="69" t="s">
        <v>75</v>
      </c>
      <c r="AU9" s="69" t="s">
        <v>157</v>
      </c>
      <c r="AV9" s="69" t="s">
        <v>158</v>
      </c>
    </row>
    <row r="10" spans="2:53" ht="51.9" customHeight="1">
      <c r="B10" s="70" t="s">
        <v>172</v>
      </c>
      <c r="C10" s="77" t="s">
        <v>173</v>
      </c>
      <c r="D10" s="77" t="s">
        <v>174</v>
      </c>
      <c r="E10" s="80" t="s">
        <v>175</v>
      </c>
      <c r="F10" s="70"/>
      <c r="G10" s="77"/>
      <c r="H10" s="77"/>
      <c r="I10" s="77"/>
      <c r="J10" s="77"/>
      <c r="K10" s="77"/>
      <c r="L10" s="77" t="s">
        <v>120</v>
      </c>
      <c r="M10" s="71"/>
      <c r="O10" s="111" t="s">
        <v>176</v>
      </c>
      <c r="P10" s="76" t="s">
        <v>177</v>
      </c>
      <c r="Q10" s="111">
        <v>1</v>
      </c>
      <c r="R10" s="69"/>
      <c r="S10" s="85" t="s">
        <v>178</v>
      </c>
      <c r="T10" s="85" t="s">
        <v>179</v>
      </c>
      <c r="U10" s="85" t="s">
        <v>180</v>
      </c>
      <c r="V10" s="85" t="s">
        <v>180</v>
      </c>
      <c r="Z10" s="231" t="s">
        <v>181</v>
      </c>
      <c r="AA10" s="231"/>
      <c r="AB10" s="231"/>
      <c r="AC10" s="231"/>
      <c r="AD10" s="231"/>
      <c r="AH10" s="69"/>
      <c r="AI10" s="127"/>
      <c r="AJ10" s="127"/>
      <c r="AK10" s="127"/>
      <c r="AL10" s="127"/>
      <c r="AS10" s="127">
        <v>7</v>
      </c>
      <c r="AT10" s="69" t="s">
        <v>75</v>
      </c>
      <c r="AU10" s="69" t="s">
        <v>157</v>
      </c>
      <c r="AV10" s="69" t="s">
        <v>158</v>
      </c>
    </row>
    <row r="11" spans="2:53" ht="51.9" customHeight="1">
      <c r="B11" s="72"/>
      <c r="C11" s="69" t="s">
        <v>182</v>
      </c>
      <c r="D11" s="69" t="s">
        <v>183</v>
      </c>
      <c r="E11" s="80" t="s">
        <v>175</v>
      </c>
      <c r="F11" s="72"/>
      <c r="L11" s="69" t="s">
        <v>120</v>
      </c>
      <c r="M11" s="73"/>
      <c r="O11" s="147" t="s">
        <v>184</v>
      </c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  <c r="AH11" s="69"/>
      <c r="AI11" s="127"/>
      <c r="AJ11" s="127"/>
      <c r="AK11" s="127"/>
      <c r="AL11" s="127"/>
      <c r="AS11" s="127">
        <v>8</v>
      </c>
      <c r="AT11" s="69" t="s">
        <v>75</v>
      </c>
      <c r="AU11" s="69" t="s">
        <v>157</v>
      </c>
      <c r="AV11" s="69" t="s">
        <v>158</v>
      </c>
    </row>
    <row r="12" spans="2:53" ht="51.9" customHeight="1">
      <c r="B12" s="72"/>
      <c r="C12" s="69" t="s">
        <v>185</v>
      </c>
      <c r="D12" s="69" t="s">
        <v>186</v>
      </c>
      <c r="E12" s="80" t="s">
        <v>175</v>
      </c>
      <c r="F12" s="72"/>
      <c r="L12" s="69" t="s">
        <v>120</v>
      </c>
      <c r="M12" s="73"/>
      <c r="O12" s="225" t="s">
        <v>187</v>
      </c>
      <c r="P12" s="225"/>
      <c r="Q12" s="225"/>
      <c r="AD12" s="69"/>
      <c r="AE12" s="69"/>
      <c r="AF12" s="69"/>
      <c r="AG12" s="69"/>
      <c r="AH12" s="69"/>
      <c r="AI12" s="127"/>
      <c r="AJ12" s="127"/>
      <c r="AK12" s="127"/>
      <c r="AL12" s="127"/>
      <c r="AS12" s="127">
        <v>9</v>
      </c>
      <c r="AT12" s="69" t="s">
        <v>75</v>
      </c>
      <c r="AU12" s="69" t="s">
        <v>157</v>
      </c>
      <c r="AV12" s="69" t="s">
        <v>158</v>
      </c>
    </row>
    <row r="13" spans="2:53" ht="51.9" customHeight="1">
      <c r="B13" s="72"/>
      <c r="C13" s="69" t="s">
        <v>188</v>
      </c>
      <c r="D13" s="69" t="s">
        <v>189</v>
      </c>
      <c r="E13" s="80" t="s">
        <v>175</v>
      </c>
      <c r="F13" s="72"/>
      <c r="L13" s="69" t="s">
        <v>120</v>
      </c>
      <c r="M13" s="73"/>
      <c r="O13" s="116" t="s">
        <v>61</v>
      </c>
      <c r="P13" s="146" t="s">
        <v>40</v>
      </c>
      <c r="Q13" s="125" t="s">
        <v>62</v>
      </c>
      <c r="S13" s="113"/>
      <c r="T13" s="113"/>
      <c r="U13" s="113"/>
      <c r="V13" s="230"/>
      <c r="W13" s="230"/>
      <c r="X13" s="230"/>
      <c r="Y13" s="230"/>
      <c r="Z13" s="230"/>
      <c r="AI13" s="127"/>
      <c r="AJ13" s="127"/>
      <c r="AK13" s="127"/>
      <c r="AL13" s="127"/>
      <c r="AS13" s="127">
        <v>10</v>
      </c>
      <c r="AT13" s="69" t="s">
        <v>75</v>
      </c>
      <c r="AU13" s="69" t="s">
        <v>157</v>
      </c>
      <c r="AV13" s="69" t="s">
        <v>158</v>
      </c>
    </row>
    <row r="14" spans="2:53" ht="51.9" customHeight="1">
      <c r="B14" s="72"/>
      <c r="C14" s="69" t="s">
        <v>190</v>
      </c>
      <c r="D14" s="69" t="s">
        <v>191</v>
      </c>
      <c r="E14" s="80" t="s">
        <v>175</v>
      </c>
      <c r="F14" s="72"/>
      <c r="L14" s="69" t="s">
        <v>120</v>
      </c>
      <c r="M14" s="73"/>
      <c r="O14" s="114" t="s">
        <v>73</v>
      </c>
      <c r="P14" s="145" t="s">
        <v>192</v>
      </c>
      <c r="Q14" s="115">
        <v>5</v>
      </c>
      <c r="S14" s="113"/>
      <c r="T14" s="113"/>
      <c r="U14" s="113"/>
      <c r="V14" s="230"/>
      <c r="W14" s="230"/>
      <c r="X14" s="230"/>
      <c r="Y14" s="230"/>
      <c r="Z14" s="230"/>
      <c r="AI14" s="127"/>
      <c r="AJ14" s="127"/>
      <c r="AK14" s="127"/>
      <c r="AL14" s="127"/>
      <c r="AS14" s="127">
        <v>11</v>
      </c>
      <c r="AT14" s="69" t="s">
        <v>75</v>
      </c>
      <c r="AU14" s="69" t="s">
        <v>157</v>
      </c>
      <c r="AV14" s="69" t="s">
        <v>158</v>
      </c>
    </row>
    <row r="15" spans="2:53" ht="51.9" customHeight="1" thickBot="1">
      <c r="B15" s="72"/>
      <c r="C15" s="69" t="s">
        <v>193</v>
      </c>
      <c r="D15" s="69" t="s">
        <v>194</v>
      </c>
      <c r="E15" s="81" t="s">
        <v>175</v>
      </c>
      <c r="F15" s="74" t="s">
        <v>120</v>
      </c>
      <c r="G15" s="78"/>
      <c r="H15" s="78"/>
      <c r="I15" s="78"/>
      <c r="J15" s="78"/>
      <c r="K15" s="78" t="s">
        <v>120</v>
      </c>
      <c r="L15" s="78"/>
      <c r="M15" s="75"/>
      <c r="O15" s="114" t="s">
        <v>75</v>
      </c>
      <c r="P15" s="145" t="s">
        <v>195</v>
      </c>
      <c r="Q15" s="111">
        <v>4</v>
      </c>
      <c r="S15" s="112"/>
      <c r="T15" s="112"/>
      <c r="U15" s="112"/>
      <c r="V15" s="112"/>
      <c r="W15" s="112"/>
      <c r="X15" s="112"/>
      <c r="Y15" s="112"/>
      <c r="Z15" s="112"/>
      <c r="AI15" s="127"/>
      <c r="AJ15" s="127"/>
      <c r="AK15" s="127"/>
      <c r="AL15" s="127"/>
      <c r="AS15" s="127">
        <v>12</v>
      </c>
      <c r="AT15" s="69" t="s">
        <v>75</v>
      </c>
      <c r="AU15" s="69" t="s">
        <v>157</v>
      </c>
      <c r="AV15" s="69" t="s">
        <v>158</v>
      </c>
    </row>
    <row r="16" spans="2:53" ht="51.9" customHeight="1">
      <c r="B16" s="70" t="s">
        <v>196</v>
      </c>
      <c r="C16" s="77" t="s">
        <v>197</v>
      </c>
      <c r="D16" s="77" t="s">
        <v>198</v>
      </c>
      <c r="E16" s="79" t="s">
        <v>199</v>
      </c>
      <c r="F16" s="70"/>
      <c r="G16" s="77"/>
      <c r="H16" s="77" t="s">
        <v>120</v>
      </c>
      <c r="I16" s="77"/>
      <c r="J16" s="77" t="s">
        <v>120</v>
      </c>
      <c r="K16" s="77"/>
      <c r="L16" s="77" t="s">
        <v>120</v>
      </c>
      <c r="M16" s="71"/>
      <c r="O16" s="114" t="s">
        <v>200</v>
      </c>
      <c r="P16" s="145" t="s">
        <v>201</v>
      </c>
      <c r="Q16" s="111">
        <v>3</v>
      </c>
      <c r="AI16" s="127"/>
      <c r="AJ16" s="127"/>
      <c r="AK16" s="127"/>
      <c r="AL16" s="127"/>
      <c r="AS16" s="127">
        <v>13</v>
      </c>
      <c r="AT16" s="69" t="s">
        <v>75</v>
      </c>
      <c r="AU16" s="69" t="s">
        <v>157</v>
      </c>
      <c r="AV16" s="69" t="s">
        <v>158</v>
      </c>
    </row>
    <row r="17" spans="2:48" ht="51.9" customHeight="1">
      <c r="B17" s="72"/>
      <c r="C17" s="69" t="s">
        <v>202</v>
      </c>
      <c r="D17" s="69" t="s">
        <v>203</v>
      </c>
      <c r="E17" s="80" t="s">
        <v>199</v>
      </c>
      <c r="F17" s="72"/>
      <c r="H17" s="69" t="s">
        <v>120</v>
      </c>
      <c r="J17" s="69" t="s">
        <v>120</v>
      </c>
      <c r="L17" s="69" t="s">
        <v>120</v>
      </c>
      <c r="M17" s="73"/>
      <c r="O17" s="114" t="s">
        <v>79</v>
      </c>
      <c r="P17" s="145" t="s">
        <v>204</v>
      </c>
      <c r="Q17" s="111">
        <v>2</v>
      </c>
      <c r="AI17" s="127"/>
      <c r="AJ17" s="127"/>
      <c r="AK17" s="127"/>
      <c r="AL17" s="127"/>
      <c r="AS17" s="127">
        <v>14</v>
      </c>
      <c r="AT17" s="69" t="s">
        <v>75</v>
      </c>
      <c r="AU17" s="69" t="s">
        <v>157</v>
      </c>
      <c r="AV17" s="69" t="s">
        <v>158</v>
      </c>
    </row>
    <row r="18" spans="2:48" ht="51.9" customHeight="1">
      <c r="B18" s="72"/>
      <c r="C18" s="69" t="s">
        <v>205</v>
      </c>
      <c r="D18" s="69" t="s">
        <v>206</v>
      </c>
      <c r="E18" s="80" t="s">
        <v>119</v>
      </c>
      <c r="F18" s="72"/>
      <c r="H18" s="69" t="s">
        <v>120</v>
      </c>
      <c r="J18" s="69" t="s">
        <v>120</v>
      </c>
      <c r="L18" s="69" t="s">
        <v>120</v>
      </c>
      <c r="M18" s="73"/>
      <c r="O18" s="114" t="s">
        <v>207</v>
      </c>
      <c r="P18" s="145" t="s">
        <v>208</v>
      </c>
      <c r="Q18" s="111">
        <v>1</v>
      </c>
      <c r="AI18" s="127"/>
      <c r="AJ18" s="127"/>
      <c r="AK18" s="127"/>
      <c r="AL18" s="127"/>
      <c r="AS18" s="127">
        <v>15</v>
      </c>
      <c r="AT18" s="69" t="s">
        <v>73</v>
      </c>
      <c r="AU18" s="69" t="s">
        <v>209</v>
      </c>
      <c r="AV18" s="69" t="s">
        <v>158</v>
      </c>
    </row>
    <row r="19" spans="2:48" ht="51.9" customHeight="1">
      <c r="B19" s="72"/>
      <c r="C19" s="69" t="s">
        <v>210</v>
      </c>
      <c r="D19" s="69" t="s">
        <v>211</v>
      </c>
      <c r="E19" s="80" t="s">
        <v>119</v>
      </c>
      <c r="F19" s="72"/>
      <c r="J19" s="69" t="s">
        <v>120</v>
      </c>
      <c r="M19" s="73"/>
      <c r="O19" s="112"/>
      <c r="P19" s="184"/>
      <c r="Q19" s="112"/>
      <c r="AS19" s="127">
        <v>16</v>
      </c>
      <c r="AT19" s="69" t="s">
        <v>73</v>
      </c>
      <c r="AU19" s="69" t="s">
        <v>209</v>
      </c>
      <c r="AV19" s="69" t="s">
        <v>158</v>
      </c>
    </row>
    <row r="20" spans="2:48" ht="51.9" customHeight="1">
      <c r="B20" s="72"/>
      <c r="C20" s="69" t="s">
        <v>212</v>
      </c>
      <c r="D20" s="69" t="s">
        <v>213</v>
      </c>
      <c r="E20" s="80" t="s">
        <v>199</v>
      </c>
      <c r="F20" s="72"/>
      <c r="J20" s="69" t="s">
        <v>120</v>
      </c>
      <c r="M20" s="73"/>
      <c r="O20" s="225" t="s">
        <v>214</v>
      </c>
      <c r="P20" s="225"/>
      <c r="Q20" s="225"/>
      <c r="R20" s="112"/>
      <c r="S20" s="112"/>
      <c r="T20" s="112"/>
      <c r="V20" s="90"/>
      <c r="AJ20" s="69"/>
      <c r="AS20" s="127">
        <v>17</v>
      </c>
      <c r="AT20" s="69" t="s">
        <v>73</v>
      </c>
      <c r="AU20" s="69" t="s">
        <v>209</v>
      </c>
      <c r="AV20" s="69" t="s">
        <v>158</v>
      </c>
    </row>
    <row r="21" spans="2:48" ht="51.9" customHeight="1">
      <c r="B21" s="72"/>
      <c r="C21" s="69" t="s">
        <v>215</v>
      </c>
      <c r="D21" s="69" t="s">
        <v>216</v>
      </c>
      <c r="E21" s="80" t="s">
        <v>119</v>
      </c>
      <c r="F21" s="72"/>
      <c r="H21" s="69" t="s">
        <v>120</v>
      </c>
      <c r="J21" s="69" t="s">
        <v>120</v>
      </c>
      <c r="M21" s="73"/>
      <c r="O21" s="116" t="s">
        <v>61</v>
      </c>
      <c r="P21" s="146" t="s">
        <v>40</v>
      </c>
      <c r="Q21" s="125" t="s">
        <v>62</v>
      </c>
      <c r="R21" s="112"/>
      <c r="S21" s="112"/>
      <c r="T21" s="112"/>
      <c r="AJ21" s="69"/>
      <c r="AS21" s="127">
        <v>18</v>
      </c>
      <c r="AT21" s="69" t="s">
        <v>73</v>
      </c>
      <c r="AU21" s="69" t="s">
        <v>209</v>
      </c>
      <c r="AV21" s="69" t="s">
        <v>158</v>
      </c>
    </row>
    <row r="22" spans="2:48" ht="51.9" customHeight="1">
      <c r="B22" s="72"/>
      <c r="C22" s="69" t="s">
        <v>217</v>
      </c>
      <c r="D22" s="69" t="s">
        <v>218</v>
      </c>
      <c r="E22" s="80" t="s">
        <v>119</v>
      </c>
      <c r="F22" s="72"/>
      <c r="H22" s="69" t="s">
        <v>120</v>
      </c>
      <c r="J22" s="69" t="s">
        <v>120</v>
      </c>
      <c r="M22" s="73"/>
      <c r="O22" s="114" t="s">
        <v>219</v>
      </c>
      <c r="P22" s="145" t="s">
        <v>220</v>
      </c>
      <c r="Q22" s="186">
        <v>0.95</v>
      </c>
      <c r="R22" s="112"/>
      <c r="S22" s="112"/>
      <c r="T22" s="112"/>
      <c r="AJ22" s="69"/>
      <c r="AS22" s="127">
        <v>19</v>
      </c>
      <c r="AT22" s="69" t="s">
        <v>73</v>
      </c>
      <c r="AU22" s="69" t="s">
        <v>209</v>
      </c>
      <c r="AV22" s="69" t="s">
        <v>158</v>
      </c>
    </row>
    <row r="23" spans="2:48" ht="51.9" customHeight="1" thickBot="1">
      <c r="B23" s="72"/>
      <c r="C23" s="69" t="s">
        <v>221</v>
      </c>
      <c r="D23" s="69" t="s">
        <v>222</v>
      </c>
      <c r="E23" s="81" t="s">
        <v>119</v>
      </c>
      <c r="F23" s="74"/>
      <c r="G23" s="78"/>
      <c r="H23" s="78" t="s">
        <v>120</v>
      </c>
      <c r="I23" s="78"/>
      <c r="J23" s="78" t="s">
        <v>120</v>
      </c>
      <c r="K23" s="78"/>
      <c r="L23" s="78"/>
      <c r="M23" s="75"/>
      <c r="O23" s="114" t="s">
        <v>223</v>
      </c>
      <c r="P23" s="145" t="s">
        <v>224</v>
      </c>
      <c r="Q23" s="187">
        <v>0.75</v>
      </c>
      <c r="R23" s="112"/>
      <c r="S23" s="112"/>
      <c r="T23" s="112"/>
      <c r="AJ23" s="69"/>
      <c r="AS23" s="127">
        <v>20</v>
      </c>
      <c r="AT23" s="69" t="s">
        <v>73</v>
      </c>
      <c r="AU23" s="69" t="s">
        <v>209</v>
      </c>
      <c r="AV23" s="69" t="s">
        <v>158</v>
      </c>
    </row>
    <row r="24" spans="2:48" ht="51.9" customHeight="1">
      <c r="B24" s="70" t="s">
        <v>225</v>
      </c>
      <c r="C24" s="77" t="s">
        <v>226</v>
      </c>
      <c r="D24" s="77" t="s">
        <v>227</v>
      </c>
      <c r="E24" s="79" t="s">
        <v>228</v>
      </c>
      <c r="F24" s="70"/>
      <c r="G24" s="77"/>
      <c r="H24" s="77" t="s">
        <v>120</v>
      </c>
      <c r="I24" s="77" t="s">
        <v>120</v>
      </c>
      <c r="J24" s="77" t="s">
        <v>120</v>
      </c>
      <c r="K24" s="77"/>
      <c r="L24" s="77"/>
      <c r="M24" s="71"/>
      <c r="O24" s="114" t="s">
        <v>200</v>
      </c>
      <c r="P24" s="145" t="s">
        <v>229</v>
      </c>
      <c r="Q24" s="187">
        <v>0.5</v>
      </c>
      <c r="R24" s="112"/>
      <c r="S24" s="112"/>
      <c r="T24" s="112"/>
      <c r="AS24" s="127">
        <v>21</v>
      </c>
      <c r="AT24" s="69" t="s">
        <v>73</v>
      </c>
      <c r="AU24" s="69" t="s">
        <v>209</v>
      </c>
      <c r="AV24" s="69" t="s">
        <v>158</v>
      </c>
    </row>
    <row r="25" spans="2:48" ht="51.9" customHeight="1">
      <c r="B25" s="72"/>
      <c r="C25" s="69" t="s">
        <v>230</v>
      </c>
      <c r="D25" s="69" t="s">
        <v>231</v>
      </c>
      <c r="E25" s="80" t="s">
        <v>199</v>
      </c>
      <c r="F25" s="72"/>
      <c r="I25" s="69" t="s">
        <v>120</v>
      </c>
      <c r="M25" s="73"/>
      <c r="O25" s="114" t="s">
        <v>232</v>
      </c>
      <c r="P25" s="145" t="s">
        <v>233</v>
      </c>
      <c r="Q25" s="187">
        <v>0.25</v>
      </c>
      <c r="AS25" s="127">
        <v>22</v>
      </c>
      <c r="AT25" s="69" t="s">
        <v>73</v>
      </c>
      <c r="AU25" s="69" t="s">
        <v>209</v>
      </c>
      <c r="AV25" s="69" t="s">
        <v>158</v>
      </c>
    </row>
    <row r="26" spans="2:48" ht="51.9" customHeight="1" thickBot="1">
      <c r="B26" s="72"/>
      <c r="C26" s="69" t="s">
        <v>234</v>
      </c>
      <c r="D26" s="69" t="s">
        <v>235</v>
      </c>
      <c r="E26" s="81" t="s">
        <v>199</v>
      </c>
      <c r="F26" s="74"/>
      <c r="G26" s="78"/>
      <c r="H26" s="78"/>
      <c r="I26" s="78" t="s">
        <v>120</v>
      </c>
      <c r="J26" s="78"/>
      <c r="K26" s="78"/>
      <c r="L26" s="78"/>
      <c r="M26" s="75"/>
      <c r="O26" s="114" t="s">
        <v>236</v>
      </c>
      <c r="P26" s="145" t="s">
        <v>237</v>
      </c>
      <c r="Q26" s="187">
        <v>0</v>
      </c>
      <c r="AS26" s="127">
        <v>23</v>
      </c>
      <c r="AT26" s="69" t="s">
        <v>238</v>
      </c>
      <c r="AU26" s="69" t="s">
        <v>209</v>
      </c>
      <c r="AV26" s="69" t="s">
        <v>158</v>
      </c>
    </row>
    <row r="27" spans="2:48" ht="51.9" customHeight="1">
      <c r="B27" s="70" t="s">
        <v>239</v>
      </c>
      <c r="C27" s="77" t="s">
        <v>240</v>
      </c>
      <c r="D27" s="77" t="s">
        <v>241</v>
      </c>
      <c r="E27" s="79" t="s">
        <v>242</v>
      </c>
      <c r="F27" s="70" t="s">
        <v>120</v>
      </c>
      <c r="G27" s="77" t="s">
        <v>120</v>
      </c>
      <c r="H27" s="77" t="s">
        <v>120</v>
      </c>
      <c r="I27" s="77"/>
      <c r="J27" s="77" t="s">
        <v>120</v>
      </c>
      <c r="K27" s="77" t="s">
        <v>120</v>
      </c>
      <c r="L27" s="77" t="s">
        <v>120</v>
      </c>
      <c r="M27" s="71"/>
      <c r="O27" s="69"/>
      <c r="P27" s="69"/>
      <c r="Q27" s="69"/>
      <c r="R27" s="144"/>
      <c r="S27" s="144"/>
      <c r="T27" s="144"/>
      <c r="U27" s="144"/>
      <c r="AS27" s="127">
        <v>24</v>
      </c>
      <c r="AT27" s="69" t="s">
        <v>238</v>
      </c>
      <c r="AU27" s="69" t="s">
        <v>209</v>
      </c>
      <c r="AV27" s="69" t="s">
        <v>158</v>
      </c>
    </row>
    <row r="28" spans="2:48" ht="51.9" customHeight="1">
      <c r="B28" s="72"/>
      <c r="C28" s="69" t="s">
        <v>243</v>
      </c>
      <c r="D28" s="69" t="s">
        <v>244</v>
      </c>
      <c r="E28" s="80" t="s">
        <v>242</v>
      </c>
      <c r="F28" s="72"/>
      <c r="K28" s="69" t="s">
        <v>120</v>
      </c>
      <c r="M28" s="73"/>
      <c r="O28" s="82"/>
      <c r="P28" s="83"/>
      <c r="Q28" s="83"/>
      <c r="R28" s="69"/>
      <c r="S28" s="69"/>
      <c r="T28" s="69"/>
      <c r="U28" s="69"/>
      <c r="AS28" s="127">
        <v>25</v>
      </c>
      <c r="AT28" s="69" t="s">
        <v>238</v>
      </c>
      <c r="AU28" s="69" t="s">
        <v>209</v>
      </c>
      <c r="AV28" s="69" t="s">
        <v>158</v>
      </c>
    </row>
    <row r="29" spans="2:48" ht="51.9" customHeight="1">
      <c r="B29" s="72"/>
      <c r="C29" s="69" t="s">
        <v>245</v>
      </c>
      <c r="D29" s="69" t="s">
        <v>246</v>
      </c>
      <c r="E29" s="80" t="s">
        <v>242</v>
      </c>
      <c r="F29" s="72"/>
      <c r="M29" s="73"/>
      <c r="R29" s="83"/>
      <c r="S29" s="83"/>
      <c r="T29" s="83"/>
      <c r="U29" s="83"/>
      <c r="AT29" s="68"/>
    </row>
    <row r="30" spans="2:48" ht="51.9" customHeight="1">
      <c r="B30" s="72"/>
      <c r="C30" s="69" t="s">
        <v>247</v>
      </c>
      <c r="D30" s="69" t="s">
        <v>248</v>
      </c>
      <c r="E30" s="80" t="s">
        <v>242</v>
      </c>
      <c r="F30" s="72" t="s">
        <v>120</v>
      </c>
      <c r="G30" s="69" t="s">
        <v>120</v>
      </c>
      <c r="K30" s="69" t="s">
        <v>120</v>
      </c>
      <c r="M30" s="73"/>
      <c r="AT30" s="68"/>
    </row>
    <row r="31" spans="2:48" ht="51.9" customHeight="1">
      <c r="B31" s="72"/>
      <c r="C31" s="69" t="s">
        <v>249</v>
      </c>
      <c r="D31" s="69" t="s">
        <v>250</v>
      </c>
      <c r="E31" s="80" t="s">
        <v>242</v>
      </c>
      <c r="F31" s="72" t="s">
        <v>120</v>
      </c>
      <c r="G31" s="69" t="s">
        <v>120</v>
      </c>
      <c r="K31" s="69" t="s">
        <v>120</v>
      </c>
      <c r="M31" s="73"/>
      <c r="AS31" s="127"/>
    </row>
    <row r="32" spans="2:48" ht="51.9" customHeight="1">
      <c r="B32" s="72"/>
      <c r="C32" s="69" t="s">
        <v>251</v>
      </c>
      <c r="D32" s="69" t="s">
        <v>252</v>
      </c>
      <c r="E32" s="80" t="s">
        <v>242</v>
      </c>
      <c r="F32" s="72"/>
      <c r="G32" s="69" t="s">
        <v>120</v>
      </c>
      <c r="I32" s="69" t="s">
        <v>120</v>
      </c>
      <c r="M32" s="73"/>
      <c r="AS32" s="127"/>
    </row>
    <row r="33" spans="2:45" ht="51.9" customHeight="1">
      <c r="B33" s="72"/>
      <c r="C33" s="69" t="s">
        <v>253</v>
      </c>
      <c r="D33" s="69" t="s">
        <v>254</v>
      </c>
      <c r="E33" s="80" t="s">
        <v>242</v>
      </c>
      <c r="F33" s="72"/>
      <c r="H33" s="69" t="s">
        <v>120</v>
      </c>
      <c r="J33" s="69" t="s">
        <v>120</v>
      </c>
      <c r="M33" s="73"/>
      <c r="AS33" s="127"/>
    </row>
    <row r="34" spans="2:45" ht="51.9" customHeight="1">
      <c r="B34" s="72"/>
      <c r="C34" s="69" t="s">
        <v>255</v>
      </c>
      <c r="D34" s="69" t="s">
        <v>256</v>
      </c>
      <c r="E34" s="80" t="s">
        <v>242</v>
      </c>
      <c r="F34" s="72"/>
      <c r="G34" s="69" t="s">
        <v>120</v>
      </c>
      <c r="K34" s="69" t="s">
        <v>120</v>
      </c>
      <c r="M34" s="73"/>
      <c r="AS34" s="127"/>
    </row>
    <row r="35" spans="2:45" ht="51.9" customHeight="1">
      <c r="B35" s="72"/>
      <c r="C35" s="69" t="s">
        <v>257</v>
      </c>
      <c r="D35" s="69" t="s">
        <v>258</v>
      </c>
      <c r="E35" s="80" t="s">
        <v>242</v>
      </c>
      <c r="F35" s="72"/>
      <c r="H35" s="69" t="s">
        <v>120</v>
      </c>
      <c r="J35" s="69" t="s">
        <v>120</v>
      </c>
      <c r="M35" s="73"/>
      <c r="AS35" s="127"/>
    </row>
    <row r="36" spans="2:45" ht="51.9" customHeight="1">
      <c r="B36" s="72"/>
      <c r="C36" s="69" t="s">
        <v>259</v>
      </c>
      <c r="D36" s="69" t="s">
        <v>260</v>
      </c>
      <c r="E36" s="80" t="s">
        <v>199</v>
      </c>
      <c r="F36" s="72" t="s">
        <v>120</v>
      </c>
      <c r="G36" s="69" t="s">
        <v>120</v>
      </c>
      <c r="M36" s="73"/>
    </row>
    <row r="37" spans="2:45" ht="51.9" customHeight="1">
      <c r="B37" s="72"/>
      <c r="C37" s="69" t="s">
        <v>261</v>
      </c>
      <c r="D37" s="69" t="s">
        <v>262</v>
      </c>
      <c r="E37" s="80" t="s">
        <v>199</v>
      </c>
      <c r="F37" s="72"/>
      <c r="I37" s="69" t="s">
        <v>120</v>
      </c>
      <c r="M37" s="73"/>
    </row>
    <row r="38" spans="2:45" ht="51.9" customHeight="1">
      <c r="B38" s="72"/>
      <c r="C38" s="69" t="s">
        <v>263</v>
      </c>
      <c r="D38" s="69" t="s">
        <v>264</v>
      </c>
      <c r="E38" s="80" t="s">
        <v>242</v>
      </c>
      <c r="F38" s="72"/>
      <c r="H38" s="69" t="s">
        <v>120</v>
      </c>
      <c r="J38" s="69" t="s">
        <v>120</v>
      </c>
      <c r="M38" s="73"/>
    </row>
    <row r="39" spans="2:45" ht="51.9" customHeight="1">
      <c r="B39" s="72"/>
      <c r="C39" s="69" t="s">
        <v>265</v>
      </c>
      <c r="D39" s="69" t="s">
        <v>266</v>
      </c>
      <c r="E39" s="80" t="s">
        <v>199</v>
      </c>
      <c r="F39" s="72"/>
      <c r="I39" s="69" t="s">
        <v>120</v>
      </c>
      <c r="M39" s="73"/>
    </row>
    <row r="40" spans="2:45" ht="51.9" customHeight="1">
      <c r="B40" s="72"/>
      <c r="C40" s="69" t="s">
        <v>267</v>
      </c>
      <c r="D40" s="69" t="s">
        <v>268</v>
      </c>
      <c r="E40" s="80" t="s">
        <v>242</v>
      </c>
      <c r="F40" s="72"/>
      <c r="I40" s="69" t="s">
        <v>120</v>
      </c>
      <c r="M40" s="73"/>
    </row>
    <row r="41" spans="2:45" ht="51.9" customHeight="1">
      <c r="B41" s="72"/>
      <c r="C41" s="69" t="s">
        <v>269</v>
      </c>
      <c r="D41" s="69" t="s">
        <v>270</v>
      </c>
      <c r="E41" s="80" t="s">
        <v>242</v>
      </c>
      <c r="F41" s="72"/>
      <c r="G41" s="69" t="s">
        <v>120</v>
      </c>
      <c r="H41" s="69" t="s">
        <v>120</v>
      </c>
      <c r="K41" s="69" t="s">
        <v>120</v>
      </c>
      <c r="M41" s="73"/>
    </row>
    <row r="42" spans="2:45" ht="51.9" customHeight="1">
      <c r="B42" s="72"/>
      <c r="C42" s="69" t="s">
        <v>271</v>
      </c>
      <c r="D42" s="69" t="s">
        <v>272</v>
      </c>
      <c r="E42" s="80" t="s">
        <v>199</v>
      </c>
      <c r="F42" s="72"/>
      <c r="G42" s="69" t="s">
        <v>120</v>
      </c>
      <c r="M42" s="73" t="s">
        <v>120</v>
      </c>
    </row>
    <row r="43" spans="2:45" ht="51.9" customHeight="1">
      <c r="B43" s="72"/>
      <c r="C43" s="69" t="s">
        <v>273</v>
      </c>
      <c r="D43" s="69" t="s">
        <v>274</v>
      </c>
      <c r="E43" s="80" t="s">
        <v>242</v>
      </c>
      <c r="F43" s="72"/>
      <c r="L43" s="69" t="s">
        <v>120</v>
      </c>
      <c r="M43" s="73" t="s">
        <v>120</v>
      </c>
    </row>
    <row r="44" spans="2:45" ht="51.9" customHeight="1">
      <c r="B44" s="72"/>
      <c r="C44" s="69" t="s">
        <v>275</v>
      </c>
      <c r="D44" s="69" t="s">
        <v>276</v>
      </c>
      <c r="E44" s="80" t="s">
        <v>242</v>
      </c>
      <c r="F44" s="72"/>
      <c r="H44" s="69" t="s">
        <v>120</v>
      </c>
      <c r="J44" s="69" t="s">
        <v>120</v>
      </c>
      <c r="M44" s="73"/>
    </row>
    <row r="45" spans="2:45" ht="51.9" customHeight="1">
      <c r="B45" s="72"/>
      <c r="C45" s="69" t="s">
        <v>277</v>
      </c>
      <c r="D45" s="69" t="s">
        <v>278</v>
      </c>
      <c r="E45" s="80" t="s">
        <v>199</v>
      </c>
      <c r="F45" s="72"/>
      <c r="H45" s="69" t="s">
        <v>120</v>
      </c>
      <c r="J45" s="69" t="s">
        <v>120</v>
      </c>
      <c r="M45" s="73"/>
    </row>
    <row r="46" spans="2:45" ht="51.9" customHeight="1">
      <c r="B46" s="72"/>
      <c r="C46" s="69" t="s">
        <v>279</v>
      </c>
      <c r="D46" s="69" t="s">
        <v>280</v>
      </c>
      <c r="E46" s="80" t="s">
        <v>199</v>
      </c>
      <c r="F46" s="72"/>
      <c r="H46" s="69" t="s">
        <v>120</v>
      </c>
      <c r="J46" s="69" t="s">
        <v>120</v>
      </c>
      <c r="M46" s="73"/>
    </row>
    <row r="47" spans="2:45" ht="51.9" customHeight="1">
      <c r="B47" s="72"/>
      <c r="C47" s="69" t="s">
        <v>281</v>
      </c>
      <c r="D47" s="69" t="s">
        <v>282</v>
      </c>
      <c r="E47" s="80" t="s">
        <v>242</v>
      </c>
      <c r="F47" s="72"/>
      <c r="I47" s="69" t="s">
        <v>120</v>
      </c>
      <c r="M47" s="73"/>
    </row>
    <row r="48" spans="2:45" ht="51.9" customHeight="1">
      <c r="B48" s="72"/>
      <c r="C48" s="69" t="s">
        <v>283</v>
      </c>
      <c r="D48" s="69" t="s">
        <v>284</v>
      </c>
      <c r="E48" s="80" t="s">
        <v>199</v>
      </c>
      <c r="F48" s="72"/>
      <c r="I48" s="69" t="s">
        <v>120</v>
      </c>
      <c r="M48" s="73"/>
    </row>
    <row r="49" spans="2:21" ht="51.9" customHeight="1">
      <c r="B49" s="72"/>
      <c r="C49" s="69" t="s">
        <v>285</v>
      </c>
      <c r="D49" s="69" t="s">
        <v>286</v>
      </c>
      <c r="E49" s="80" t="s">
        <v>242</v>
      </c>
      <c r="F49" s="72"/>
      <c r="G49" s="69" t="s">
        <v>120</v>
      </c>
      <c r="I49" s="69" t="s">
        <v>120</v>
      </c>
      <c r="M49" s="73"/>
    </row>
    <row r="50" spans="2:21" ht="51.9" customHeight="1">
      <c r="B50" s="72"/>
      <c r="C50" s="69" t="s">
        <v>287</v>
      </c>
      <c r="D50" s="69" t="s">
        <v>288</v>
      </c>
      <c r="E50" s="80" t="s">
        <v>242</v>
      </c>
      <c r="F50" s="72"/>
      <c r="G50" s="69" t="s">
        <v>120</v>
      </c>
      <c r="M50" s="73"/>
    </row>
    <row r="51" spans="2:21" ht="51.9" customHeight="1">
      <c r="B51" s="72"/>
      <c r="C51" s="69" t="s">
        <v>289</v>
      </c>
      <c r="D51" s="69" t="s">
        <v>290</v>
      </c>
      <c r="E51" s="80" t="s">
        <v>291</v>
      </c>
      <c r="F51" s="72"/>
      <c r="G51" s="69" t="s">
        <v>120</v>
      </c>
      <c r="H51" s="69" t="s">
        <v>120</v>
      </c>
      <c r="I51" s="69" t="s">
        <v>120</v>
      </c>
      <c r="J51" s="69" t="s">
        <v>120</v>
      </c>
      <c r="M51" s="73"/>
    </row>
    <row r="52" spans="2:21" ht="51.9" customHeight="1" thickBot="1">
      <c r="B52" s="72"/>
      <c r="C52" s="69" t="s">
        <v>292</v>
      </c>
      <c r="D52" s="69" t="s">
        <v>293</v>
      </c>
      <c r="E52" s="81" t="s">
        <v>228</v>
      </c>
      <c r="F52" s="74" t="s">
        <v>120</v>
      </c>
      <c r="G52" s="78" t="s">
        <v>120</v>
      </c>
      <c r="H52" s="78" t="s">
        <v>120</v>
      </c>
      <c r="I52" s="78" t="s">
        <v>120</v>
      </c>
      <c r="J52" s="78" t="s">
        <v>120</v>
      </c>
      <c r="K52" s="78" t="s">
        <v>120</v>
      </c>
      <c r="L52" s="78" t="s">
        <v>120</v>
      </c>
      <c r="M52" s="75" t="s">
        <v>120</v>
      </c>
    </row>
    <row r="53" spans="2:21" ht="51.9" customHeight="1">
      <c r="B53" s="160" t="s">
        <v>294</v>
      </c>
      <c r="C53" s="77" t="s">
        <v>295</v>
      </c>
      <c r="D53" s="77" t="s">
        <v>296</v>
      </c>
      <c r="E53" s="79" t="s">
        <v>199</v>
      </c>
      <c r="F53" s="70"/>
      <c r="G53" s="77"/>
      <c r="H53" s="77" t="s">
        <v>120</v>
      </c>
      <c r="I53" s="77" t="s">
        <v>120</v>
      </c>
      <c r="J53" s="77" t="s">
        <v>120</v>
      </c>
      <c r="K53" s="77"/>
      <c r="L53" s="77"/>
      <c r="M53" s="71"/>
    </row>
    <row r="54" spans="2:21" ht="51.9" customHeight="1">
      <c r="B54" s="72"/>
      <c r="C54" s="69" t="s">
        <v>297</v>
      </c>
      <c r="D54" s="69" t="s">
        <v>298</v>
      </c>
      <c r="E54" s="80" t="s">
        <v>242</v>
      </c>
      <c r="F54" s="72"/>
      <c r="G54" s="69" t="s">
        <v>120</v>
      </c>
      <c r="H54" s="69" t="s">
        <v>120</v>
      </c>
      <c r="I54" s="69" t="s">
        <v>120</v>
      </c>
      <c r="J54" s="69" t="s">
        <v>120</v>
      </c>
      <c r="K54" s="69" t="s">
        <v>120</v>
      </c>
      <c r="L54" s="69" t="s">
        <v>120</v>
      </c>
      <c r="M54" s="73" t="s">
        <v>120</v>
      </c>
    </row>
    <row r="55" spans="2:21" ht="51.9" customHeight="1">
      <c r="B55" s="72"/>
      <c r="C55" s="69" t="s">
        <v>299</v>
      </c>
      <c r="D55" s="69" t="s">
        <v>300</v>
      </c>
      <c r="E55" s="80" t="s">
        <v>242</v>
      </c>
      <c r="F55" s="72"/>
      <c r="G55" s="69" t="s">
        <v>120</v>
      </c>
      <c r="H55" s="69" t="s">
        <v>120</v>
      </c>
      <c r="I55" s="69" t="s">
        <v>120</v>
      </c>
      <c r="J55" s="69" t="s">
        <v>120</v>
      </c>
      <c r="K55" s="69" t="s">
        <v>120</v>
      </c>
      <c r="L55" s="69" t="s">
        <v>120</v>
      </c>
      <c r="M55" s="73" t="s">
        <v>120</v>
      </c>
    </row>
    <row r="56" spans="2:21" ht="51.9" customHeight="1" thickBot="1">
      <c r="B56" s="72"/>
      <c r="C56" s="69" t="s">
        <v>301</v>
      </c>
      <c r="D56" s="69" t="s">
        <v>302</v>
      </c>
      <c r="E56" s="81" t="s">
        <v>303</v>
      </c>
      <c r="F56" s="74"/>
      <c r="G56" s="78"/>
      <c r="H56" s="78"/>
      <c r="I56" s="78" t="s">
        <v>120</v>
      </c>
      <c r="J56" s="78"/>
      <c r="K56" s="78"/>
      <c r="L56" s="78"/>
      <c r="M56" s="75"/>
    </row>
    <row r="57" spans="2:21" ht="51.9" customHeight="1">
      <c r="B57" s="70" t="s">
        <v>304</v>
      </c>
      <c r="C57" s="77" t="s">
        <v>305</v>
      </c>
      <c r="D57" s="77" t="s">
        <v>306</v>
      </c>
      <c r="E57" s="79" t="s">
        <v>303</v>
      </c>
      <c r="F57" s="70" t="s">
        <v>120</v>
      </c>
      <c r="G57" s="77"/>
      <c r="H57" s="77"/>
      <c r="I57" s="77"/>
      <c r="J57" s="77"/>
      <c r="K57" s="77" t="s">
        <v>120</v>
      </c>
      <c r="L57" s="77"/>
      <c r="M57" s="71"/>
    </row>
    <row r="58" spans="2:21" ht="51.9" customHeight="1">
      <c r="B58" s="72"/>
      <c r="C58" s="69" t="s">
        <v>307</v>
      </c>
      <c r="D58" s="69" t="s">
        <v>308</v>
      </c>
      <c r="E58" s="80" t="s">
        <v>303</v>
      </c>
      <c r="F58" s="72" t="s">
        <v>120</v>
      </c>
      <c r="H58" s="69" t="s">
        <v>120</v>
      </c>
      <c r="I58" s="69" t="s">
        <v>120</v>
      </c>
      <c r="J58" s="69" t="s">
        <v>120</v>
      </c>
      <c r="K58" s="69" t="s">
        <v>120</v>
      </c>
      <c r="L58" s="69" t="s">
        <v>120</v>
      </c>
      <c r="M58" s="73" t="s">
        <v>120</v>
      </c>
      <c r="O58" s="144"/>
      <c r="P58" s="144"/>
      <c r="Q58" s="144"/>
    </row>
    <row r="59" spans="2:21" ht="51.9" customHeight="1">
      <c r="B59" s="72"/>
      <c r="C59" s="69" t="s">
        <v>309</v>
      </c>
      <c r="D59" s="69" t="s">
        <v>310</v>
      </c>
      <c r="E59" s="80" t="s">
        <v>199</v>
      </c>
      <c r="F59" s="72" t="s">
        <v>120</v>
      </c>
      <c r="H59" s="69" t="s">
        <v>120</v>
      </c>
      <c r="I59" s="69" t="s">
        <v>120</v>
      </c>
      <c r="J59" s="69" t="s">
        <v>120</v>
      </c>
      <c r="K59" s="69" t="s">
        <v>120</v>
      </c>
      <c r="M59" s="73" t="s">
        <v>120</v>
      </c>
      <c r="O59" s="69"/>
      <c r="P59" s="69"/>
      <c r="Q59" s="69"/>
      <c r="R59" s="144"/>
      <c r="S59" s="144"/>
      <c r="T59" s="144"/>
      <c r="U59" s="144"/>
    </row>
    <row r="60" spans="2:21" ht="51.9" customHeight="1" thickBot="1">
      <c r="B60" s="74"/>
      <c r="C60" s="191" t="s">
        <v>311</v>
      </c>
      <c r="D60" s="78" t="s">
        <v>312</v>
      </c>
      <c r="E60" s="81" t="s">
        <v>199</v>
      </c>
      <c r="F60" s="74" t="s">
        <v>120</v>
      </c>
      <c r="G60" s="78" t="s">
        <v>120</v>
      </c>
      <c r="H60" s="78"/>
      <c r="I60" s="78" t="s">
        <v>120</v>
      </c>
      <c r="J60" s="78"/>
      <c r="K60" s="78" t="s">
        <v>120</v>
      </c>
      <c r="L60" s="78" t="s">
        <v>120</v>
      </c>
      <c r="M60" s="75"/>
      <c r="R60" s="69"/>
      <c r="S60" s="69"/>
      <c r="T60" s="69"/>
      <c r="U60" s="69"/>
    </row>
    <row r="61" spans="2:21" ht="51.9" customHeight="1">
      <c r="B61" s="163"/>
      <c r="C61" s="69"/>
      <c r="D61" s="69"/>
    </row>
    <row r="62" spans="2:21" ht="51.9" customHeight="1">
      <c r="B62" s="163"/>
      <c r="C62" s="69"/>
      <c r="D62" s="69"/>
    </row>
    <row r="63" spans="2:21" ht="51.9" customHeight="1">
      <c r="B63" s="163"/>
      <c r="C63" s="69"/>
      <c r="D63" s="69"/>
    </row>
    <row r="64" spans="2:21">
      <c r="B64" s="163"/>
      <c r="C64" s="69"/>
      <c r="D64" s="69"/>
    </row>
  </sheetData>
  <mergeCells count="15">
    <mergeCell ref="O20:Q20"/>
    <mergeCell ref="B2:E2"/>
    <mergeCell ref="F2:M2"/>
    <mergeCell ref="V14:Z14"/>
    <mergeCell ref="V13:Z13"/>
    <mergeCell ref="S4:V4"/>
    <mergeCell ref="Z10:AD10"/>
    <mergeCell ref="X4:X8"/>
    <mergeCell ref="O4:Q4"/>
    <mergeCell ref="O12:Q12"/>
    <mergeCell ref="Y3:AD3"/>
    <mergeCell ref="S6:S8"/>
    <mergeCell ref="T6:T8"/>
    <mergeCell ref="U6:U8"/>
    <mergeCell ref="V6:V8"/>
  </mergeCells>
  <phoneticPr fontId="9" type="noConversion"/>
  <dataValidations xWindow="437" yWindow="251" count="1">
    <dataValidation allowBlank="1" showInputMessage="1" showErrorMessage="1" promptTitle="Lista de ameaças comuns" prompt="A lista pode ser usada durante o processo de avaliação dos riscos. Ameaças podem ser intencionais, acidentais ou de origem ambiental_x000a_(natural)._x000a_Os exemplos de ameaças comuns retirados do anexo, do documento guia-de-gestao-dos-riscos11 do CNCS." sqref="B2:E2" xr:uid="{E4F06E82-1216-45C7-87CF-BD2852CBCC9A}"/>
  </dataValidations>
  <pageMargins left="0.7" right="0.7" top="0.75" bottom="0.75" header="0.3" footer="0.3"/>
  <pageSetup orientation="portrait" r:id="rId1"/>
  <legacyDrawing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lha10">
    <tabColor rgb="FFFF0000"/>
  </sheetPr>
  <dimension ref="B1:AB97"/>
  <sheetViews>
    <sheetView showGridLines="0" zoomScaleNormal="100" zoomScaleSheetLayoutView="112" workbookViewId="0">
      <selection activeCell="D5" sqref="D5:D14"/>
    </sheetView>
  </sheetViews>
  <sheetFormatPr defaultColWidth="31" defaultRowHeight="16.8"/>
  <cols>
    <col min="1" max="10" width="31" style="91"/>
    <col min="11" max="11" width="8.77734375" style="91" customWidth="1"/>
    <col min="12" max="12" width="31" style="91"/>
    <col min="13" max="13" width="10" style="91" customWidth="1"/>
    <col min="14" max="14" width="18.6640625" style="91" customWidth="1"/>
    <col min="15" max="19" width="31" style="91"/>
    <col min="20" max="20" width="30.109375" style="91" bestFit="1" customWidth="1"/>
    <col min="21" max="24" width="31" style="91"/>
    <col min="25" max="25" width="31" style="83"/>
    <col min="26" max="28" width="31" style="82"/>
    <col min="29" max="16384" width="31" style="91"/>
  </cols>
  <sheetData>
    <row r="1" spans="2:25" ht="23.25" customHeight="1">
      <c r="B1" s="143"/>
    </row>
    <row r="2" spans="2:25" ht="15.75" customHeight="1">
      <c r="B2" s="239"/>
      <c r="C2" s="239"/>
      <c r="D2" s="92"/>
      <c r="E2" s="240" t="s">
        <v>313</v>
      </c>
      <c r="F2" s="240"/>
      <c r="G2" s="240"/>
      <c r="H2" s="240"/>
      <c r="I2" s="249"/>
      <c r="J2" s="241" t="s">
        <v>314</v>
      </c>
      <c r="K2" s="241"/>
      <c r="L2" s="241"/>
      <c r="M2" s="241"/>
      <c r="N2" s="241"/>
      <c r="O2" s="241"/>
      <c r="P2" s="242" t="s">
        <v>315</v>
      </c>
      <c r="Q2" s="242"/>
      <c r="R2" s="242"/>
      <c r="S2" s="243" t="s">
        <v>316</v>
      </c>
      <c r="T2" s="244"/>
      <c r="U2" s="244"/>
      <c r="V2" s="244"/>
      <c r="W2" s="244"/>
      <c r="X2" s="245"/>
    </row>
    <row r="3" spans="2:25" s="94" customFormat="1" ht="20.25" customHeight="1">
      <c r="B3" s="239"/>
      <c r="C3" s="239"/>
      <c r="D3" s="92"/>
      <c r="E3" s="240"/>
      <c r="F3" s="240"/>
      <c r="G3" s="240"/>
      <c r="H3" s="240"/>
      <c r="I3" s="250"/>
      <c r="J3" s="241"/>
      <c r="K3" s="241"/>
      <c r="L3" s="241"/>
      <c r="M3" s="241"/>
      <c r="N3" s="241"/>
      <c r="O3" s="241"/>
      <c r="P3" s="242"/>
      <c r="Q3" s="242"/>
      <c r="R3" s="242"/>
      <c r="S3" s="246"/>
      <c r="T3" s="247"/>
      <c r="U3" s="247"/>
      <c r="V3" s="247"/>
      <c r="W3" s="247"/>
      <c r="X3" s="248"/>
    </row>
    <row r="4" spans="2:25" s="94" customFormat="1" ht="45.75" customHeight="1">
      <c r="B4" s="95" t="s">
        <v>101</v>
      </c>
      <c r="C4" s="95" t="s">
        <v>317</v>
      </c>
      <c r="D4" s="95" t="s">
        <v>318</v>
      </c>
      <c r="E4" s="93" t="s">
        <v>319</v>
      </c>
      <c r="F4" s="95" t="s">
        <v>320</v>
      </c>
      <c r="G4" s="95" t="s">
        <v>321</v>
      </c>
      <c r="H4" s="96" t="s">
        <v>322</v>
      </c>
      <c r="I4" s="96" t="s">
        <v>323</v>
      </c>
      <c r="J4" s="93" t="s">
        <v>324</v>
      </c>
      <c r="K4" s="93" t="s">
        <v>325</v>
      </c>
      <c r="L4" s="93" t="s">
        <v>326</v>
      </c>
      <c r="M4" s="93" t="s">
        <v>327</v>
      </c>
      <c r="N4" s="93" t="s">
        <v>328</v>
      </c>
      <c r="O4" s="93" t="s">
        <v>329</v>
      </c>
      <c r="P4" s="93" t="s">
        <v>330</v>
      </c>
      <c r="Q4" s="93" t="s">
        <v>331</v>
      </c>
      <c r="R4" s="93" t="s">
        <v>332</v>
      </c>
      <c r="S4" s="93" t="s">
        <v>333</v>
      </c>
      <c r="T4" s="93" t="s">
        <v>214</v>
      </c>
      <c r="U4" s="93" t="s">
        <v>334</v>
      </c>
      <c r="V4" s="93" t="s">
        <v>335</v>
      </c>
      <c r="W4" s="93" t="s">
        <v>336</v>
      </c>
      <c r="X4" s="93" t="s">
        <v>337</v>
      </c>
      <c r="Y4" s="194" t="s">
        <v>593</v>
      </c>
    </row>
    <row r="5" spans="2:25" s="102" customFormat="1" ht="54" customHeight="1">
      <c r="B5" s="148" t="str">
        <f>IFERROR(VLOOKUP(D5,'03.Inventário de Ativos'!$D$4:$E$866,2,FALSE),"")</f>
        <v/>
      </c>
      <c r="C5" s="148" t="str">
        <f>IFERROR(VLOOKUP(D5,'03.Inventário de Ativos'!$D$4:$J$99,7,FALSE),"")</f>
        <v/>
      </c>
      <c r="D5" s="98"/>
      <c r="E5" s="128" t="str">
        <f>IFERROR(VLOOKUP(F5,Tabela2[[Descrição]:[ID. Risco]],2,FALSE),"")</f>
        <v/>
      </c>
      <c r="F5" s="97"/>
      <c r="G5" s="107"/>
      <c r="H5" s="99"/>
      <c r="I5" s="188"/>
      <c r="J5" s="100"/>
      <c r="K5" s="129" t="str">
        <f>IFERROR(VLOOKUP(J5,'04.Lista Riscos,Classificação'!$O$6:$Q$10,3,FALSE),"")</f>
        <v/>
      </c>
      <c r="L5" s="100"/>
      <c r="M5" s="129" t="str">
        <f>IFERROR(VLOOKUP(L5,'04.Lista Riscos,Classificação'!$O$13:$Q$18,3,FALSE),"")</f>
        <v/>
      </c>
      <c r="N5" s="130" t="str">
        <f t="shared" ref="N5:N36" si="0">IFERROR(K5*M5,"")</f>
        <v/>
      </c>
      <c r="O5" s="130" t="str">
        <f>IFERROR(VLOOKUP(N5,'04.Lista Riscos,Classificação'!$AS$4:$AT$28,2,FALSE),"")</f>
        <v/>
      </c>
      <c r="P5" s="132" t="str">
        <f>IFERROR(VLOOKUP(O5,'04.Lista Riscos,Classificação'!$AT$4:$AV$28,3,FALSE),"")</f>
        <v/>
      </c>
      <c r="Q5" s="101"/>
      <c r="R5" s="131" t="str">
        <f>IFERROR(VLOOKUP(O5,'04.Lista Riscos,Classificação'!$AZ$4:$BA$7,2,FALSE),"")</f>
        <v/>
      </c>
      <c r="S5" s="106"/>
      <c r="T5" s="185"/>
      <c r="U5" s="165" t="str">
        <f>IFERROR(VLOOKUP(T5,'04.Lista Riscos,Classificação'!$O$22:$Q$26,3,FALSE),"")</f>
        <v/>
      </c>
      <c r="V5" s="130" t="str">
        <f t="shared" ref="V5:V36" si="1">IFERROR(ROUND((N5*(100%-U5)),0),"")</f>
        <v/>
      </c>
      <c r="W5" s="130" t="str">
        <f>IFERROR(VLOOKUP(V5,'04.Lista Riscos,Classificação'!$AS$4:$AV$28,2,FALSE),"")</f>
        <v/>
      </c>
      <c r="X5" s="101"/>
      <c r="Y5" s="195"/>
    </row>
    <row r="6" spans="2:25" ht="54" customHeight="1">
      <c r="B6" s="148" t="str">
        <f>IFERROR(VLOOKUP(D6,'03.Inventário de Ativos'!$D$4:$E$866,2,FALSE),"")</f>
        <v/>
      </c>
      <c r="C6" s="148" t="str">
        <f>IFERROR(VLOOKUP(D6,'03.Inventário de Ativos'!$D$4:$J$99,7,FALSE),"")</f>
        <v/>
      </c>
      <c r="D6" s="98"/>
      <c r="E6" s="128" t="str">
        <f>IFERROR(VLOOKUP(F6,Tabela2[[Descrição]:[ID. Risco]],2,FALSE),"")</f>
        <v/>
      </c>
      <c r="F6" s="97"/>
      <c r="G6" s="107"/>
      <c r="H6" s="99"/>
      <c r="I6" s="188"/>
      <c r="J6" s="100"/>
      <c r="K6" s="129" t="str">
        <f>IFERROR(VLOOKUP(J6,'04.Lista Riscos,Classificação'!$O$6:$Q$10,3,FALSE),"")</f>
        <v/>
      </c>
      <c r="L6" s="100"/>
      <c r="M6" s="129" t="str">
        <f>IFERROR(VLOOKUP(L6,'04.Lista Riscos,Classificação'!$O$13:$Q$18,3,FALSE),"")</f>
        <v/>
      </c>
      <c r="N6" s="130" t="str">
        <f t="shared" si="0"/>
        <v/>
      </c>
      <c r="O6" s="130" t="str">
        <f>IFERROR(VLOOKUP(N6,'04.Lista Riscos,Classificação'!$AS$4:$AT$28,2,FALSE),"")</f>
        <v/>
      </c>
      <c r="P6" s="132" t="str">
        <f>IFERROR(VLOOKUP(O6,'04.Lista Riscos,Classificação'!$AT$4:$AV$28,3,FALSE),"")</f>
        <v/>
      </c>
      <c r="Q6" s="101"/>
      <c r="R6" s="131" t="str">
        <f>IFERROR(VLOOKUP(O6,'04.Lista Riscos,Classificação'!$AZ$4:$BA$7,2,FALSE),"")</f>
        <v/>
      </c>
      <c r="S6" s="106"/>
      <c r="T6" s="185"/>
      <c r="U6" s="165" t="str">
        <f>IFERROR(VLOOKUP(T6,'04.Lista Riscos,Classificação'!$O$22:$Q$26,3,FALSE),"")</f>
        <v/>
      </c>
      <c r="V6" s="130" t="str">
        <f t="shared" si="1"/>
        <v/>
      </c>
      <c r="W6" s="130" t="str">
        <f>IFERROR(VLOOKUP(V6,'04.Lista Riscos,Classificação'!$AS$4:$AV$28,2,FALSE),"")</f>
        <v/>
      </c>
      <c r="X6" s="101"/>
      <c r="Y6" s="195"/>
    </row>
    <row r="7" spans="2:25" ht="54" customHeight="1">
      <c r="B7" s="148" t="str">
        <f>IFERROR(VLOOKUP(D7,'03.Inventário de Ativos'!$D$4:$E$866,2,FALSE),"")</f>
        <v/>
      </c>
      <c r="C7" s="148" t="str">
        <f>IFERROR(VLOOKUP(D7,'03.Inventário de Ativos'!$D$4:$J$99,7,FALSE),"")</f>
        <v/>
      </c>
      <c r="D7" s="98"/>
      <c r="E7" s="128" t="str">
        <f>IFERROR(VLOOKUP(F7,Tabela2[[Descrição]:[ID. Risco]],2,FALSE),"")</f>
        <v/>
      </c>
      <c r="F7" s="97"/>
      <c r="G7" s="107"/>
      <c r="H7" s="99"/>
      <c r="I7" s="188"/>
      <c r="J7" s="100"/>
      <c r="K7" s="129" t="str">
        <f>IFERROR(VLOOKUP(J7,'04.Lista Riscos,Classificação'!$O$6:$Q$10,3,FALSE),"")</f>
        <v/>
      </c>
      <c r="L7" s="100"/>
      <c r="M7" s="129" t="str">
        <f>IFERROR(VLOOKUP(L7,'04.Lista Riscos,Classificação'!$O$13:$Q$18,3,FALSE),"")</f>
        <v/>
      </c>
      <c r="N7" s="130" t="str">
        <f t="shared" si="0"/>
        <v/>
      </c>
      <c r="O7" s="130" t="str">
        <f>IFERROR(VLOOKUP(N7,'04.Lista Riscos,Classificação'!$AS$4:$AT$28,2,FALSE),"")</f>
        <v/>
      </c>
      <c r="P7" s="132" t="str">
        <f>IFERROR(VLOOKUP(O7,'04.Lista Riscos,Classificação'!$AT$4:$AV$28,3,FALSE),"")</f>
        <v/>
      </c>
      <c r="Q7" s="101"/>
      <c r="R7" s="131" t="str">
        <f>IFERROR(VLOOKUP(O7,'04.Lista Riscos,Classificação'!$AZ$4:$BA$7,2,FALSE),"")</f>
        <v/>
      </c>
      <c r="S7" s="106"/>
      <c r="T7" s="185"/>
      <c r="U7" s="165" t="str">
        <f>IFERROR(VLOOKUP(T7,'04.Lista Riscos,Classificação'!$O$22:$Q$26,3,FALSE),"")</f>
        <v/>
      </c>
      <c r="V7" s="130" t="str">
        <f t="shared" si="1"/>
        <v/>
      </c>
      <c r="W7" s="130" t="str">
        <f>IFERROR(VLOOKUP(V7,'04.Lista Riscos,Classificação'!$AS$4:$AV$28,2,FALSE),"")</f>
        <v/>
      </c>
      <c r="X7" s="101"/>
      <c r="Y7" s="195"/>
    </row>
    <row r="8" spans="2:25" ht="54" customHeight="1">
      <c r="B8" s="148" t="str">
        <f>IFERROR(VLOOKUP(D8,'03.Inventário de Ativos'!$D$4:$E$866,2,FALSE),"")</f>
        <v/>
      </c>
      <c r="C8" s="148" t="str">
        <f>IFERROR(VLOOKUP(D8,'03.Inventário de Ativos'!$D$4:$J$99,7,FALSE),"")</f>
        <v/>
      </c>
      <c r="D8" s="98"/>
      <c r="E8" s="128" t="str">
        <f>IFERROR(VLOOKUP(F8,Tabela2[[Descrição]:[ID. Risco]],2,FALSE),"")</f>
        <v/>
      </c>
      <c r="F8" s="97"/>
      <c r="G8" s="107"/>
      <c r="H8" s="99"/>
      <c r="I8" s="188"/>
      <c r="J8" s="100"/>
      <c r="K8" s="129" t="str">
        <f>IFERROR(VLOOKUP(J8,'04.Lista Riscos,Classificação'!$O$6:$Q$10,3,FALSE),"")</f>
        <v/>
      </c>
      <c r="L8" s="100"/>
      <c r="M8" s="129" t="str">
        <f>IFERROR(VLOOKUP(L8,'04.Lista Riscos,Classificação'!$O$13:$Q$18,3,FALSE),"")</f>
        <v/>
      </c>
      <c r="N8" s="130" t="str">
        <f t="shared" si="0"/>
        <v/>
      </c>
      <c r="O8" s="130" t="str">
        <f>IFERROR(VLOOKUP(N8,'04.Lista Riscos,Classificação'!$AS$4:$AT$28,2,FALSE),"")</f>
        <v/>
      </c>
      <c r="P8" s="132" t="str">
        <f>IFERROR(VLOOKUP(O8,'04.Lista Riscos,Classificação'!$AT$4:$AV$28,3,FALSE),"")</f>
        <v/>
      </c>
      <c r="Q8" s="101"/>
      <c r="R8" s="131" t="str">
        <f>IFERROR(VLOOKUP(O8,'04.Lista Riscos,Classificação'!$AZ$4:$BA$7,2,FALSE),"")</f>
        <v/>
      </c>
      <c r="S8" s="106"/>
      <c r="T8" s="185"/>
      <c r="U8" s="165" t="str">
        <f>IFERROR(VLOOKUP(T8,'04.Lista Riscos,Classificação'!$O$22:$Q$26,3,FALSE),"")</f>
        <v/>
      </c>
      <c r="V8" s="130" t="str">
        <f t="shared" si="1"/>
        <v/>
      </c>
      <c r="W8" s="130" t="str">
        <f>IFERROR(VLOOKUP(V8,'04.Lista Riscos,Classificação'!$AS$4:$AV$28,2,FALSE),"")</f>
        <v/>
      </c>
      <c r="X8" s="101"/>
      <c r="Y8" s="195"/>
    </row>
    <row r="9" spans="2:25" ht="54" customHeight="1">
      <c r="B9" s="148" t="str">
        <f>IFERROR(VLOOKUP(D9,'03.Inventário de Ativos'!$D$4:$E$866,2,FALSE),"")</f>
        <v/>
      </c>
      <c r="C9" s="148" t="str">
        <f>IFERROR(VLOOKUP(D9,'03.Inventário de Ativos'!$D$4:$J$99,7,FALSE),"")</f>
        <v/>
      </c>
      <c r="D9" s="98"/>
      <c r="E9" s="128" t="str">
        <f>IFERROR(VLOOKUP(F9,Tabela2[[Descrição]:[ID. Risco]],2,FALSE),"")</f>
        <v/>
      </c>
      <c r="F9" s="97"/>
      <c r="G9" s="107"/>
      <c r="H9" s="99"/>
      <c r="I9" s="188"/>
      <c r="J9" s="100"/>
      <c r="K9" s="129" t="str">
        <f>IFERROR(VLOOKUP(J9,'04.Lista Riscos,Classificação'!$O$6:$Q$10,3,FALSE),"")</f>
        <v/>
      </c>
      <c r="L9" s="100"/>
      <c r="M9" s="129" t="str">
        <f>IFERROR(VLOOKUP(L9,'04.Lista Riscos,Classificação'!$O$13:$Q$18,3,FALSE),"")</f>
        <v/>
      </c>
      <c r="N9" s="130" t="str">
        <f t="shared" si="0"/>
        <v/>
      </c>
      <c r="O9" s="130" t="str">
        <f>IFERROR(VLOOKUP(N9,'04.Lista Riscos,Classificação'!$AS$4:$AT$28,2,FALSE),"")</f>
        <v/>
      </c>
      <c r="P9" s="132" t="str">
        <f>IFERROR(VLOOKUP(O9,'04.Lista Riscos,Classificação'!$AT$4:$AV$28,3,FALSE),"")</f>
        <v/>
      </c>
      <c r="Q9" s="101"/>
      <c r="R9" s="131" t="str">
        <f>IFERROR(VLOOKUP(O9,'04.Lista Riscos,Classificação'!$AZ$4:$BA$7,2,FALSE),"")</f>
        <v/>
      </c>
      <c r="S9" s="106"/>
      <c r="T9" s="185"/>
      <c r="U9" s="165" t="str">
        <f>IFERROR(VLOOKUP(T9,'04.Lista Riscos,Classificação'!$O$22:$Q$26,3,FALSE),"")</f>
        <v/>
      </c>
      <c r="V9" s="130" t="str">
        <f t="shared" si="1"/>
        <v/>
      </c>
      <c r="W9" s="130" t="str">
        <f>IFERROR(VLOOKUP(V9,'04.Lista Riscos,Classificação'!$AS$4:$AV$28,2,FALSE),"")</f>
        <v/>
      </c>
      <c r="X9" s="101"/>
      <c r="Y9" s="195"/>
    </row>
    <row r="10" spans="2:25" ht="54" customHeight="1">
      <c r="B10" s="148" t="str">
        <f>IFERROR(VLOOKUP(D10,'03.Inventário de Ativos'!$D$4:$E$866,2,FALSE),"")</f>
        <v/>
      </c>
      <c r="C10" s="148" t="str">
        <f>IFERROR(VLOOKUP(D10,'03.Inventário de Ativos'!$D$4:$J$99,7,FALSE),"")</f>
        <v/>
      </c>
      <c r="D10" s="98"/>
      <c r="E10" s="128" t="str">
        <f>IFERROR(VLOOKUP(F10,Tabela2[[Descrição]:[ID. Risco]],2,FALSE),"")</f>
        <v/>
      </c>
      <c r="F10" s="97"/>
      <c r="G10" s="107"/>
      <c r="H10" s="99"/>
      <c r="I10" s="188"/>
      <c r="J10" s="100"/>
      <c r="K10" s="129" t="str">
        <f>IFERROR(VLOOKUP(J10,'04.Lista Riscos,Classificação'!$O$6:$Q$10,3,FALSE),"")</f>
        <v/>
      </c>
      <c r="L10" s="100"/>
      <c r="M10" s="129" t="str">
        <f>IFERROR(VLOOKUP(L10,'04.Lista Riscos,Classificação'!$O$13:$Q$18,3,FALSE),"")</f>
        <v/>
      </c>
      <c r="N10" s="130" t="str">
        <f t="shared" si="0"/>
        <v/>
      </c>
      <c r="O10" s="130" t="str">
        <f>IFERROR(VLOOKUP(N10,'04.Lista Riscos,Classificação'!$AS$4:$AT$28,2,FALSE),"")</f>
        <v/>
      </c>
      <c r="P10" s="132" t="str">
        <f>IFERROR(VLOOKUP(O10,'04.Lista Riscos,Classificação'!$AT$4:$AV$28,3,FALSE),"")</f>
        <v/>
      </c>
      <c r="Q10" s="101"/>
      <c r="R10" s="131" t="str">
        <f>IFERROR(VLOOKUP(O10,'04.Lista Riscos,Classificação'!$AZ$4:$BA$7,2,FALSE),"")</f>
        <v/>
      </c>
      <c r="S10" s="106"/>
      <c r="T10" s="185"/>
      <c r="U10" s="165" t="str">
        <f>IFERROR(VLOOKUP(T10,'04.Lista Riscos,Classificação'!$O$22:$Q$26,3,FALSE),"")</f>
        <v/>
      </c>
      <c r="V10" s="130" t="str">
        <f t="shared" si="1"/>
        <v/>
      </c>
      <c r="W10" s="130" t="str">
        <f>IFERROR(VLOOKUP(V10,'04.Lista Riscos,Classificação'!$AS$4:$AV$28,2,FALSE),"")</f>
        <v/>
      </c>
      <c r="X10" s="101"/>
      <c r="Y10" s="195"/>
    </row>
    <row r="11" spans="2:25" ht="54" customHeight="1">
      <c r="B11" s="148" t="str">
        <f>IFERROR(VLOOKUP(D11,'03.Inventário de Ativos'!$D$4:$E$866,2,FALSE),"")</f>
        <v/>
      </c>
      <c r="C11" s="148" t="str">
        <f>IFERROR(VLOOKUP(D11,'03.Inventário de Ativos'!$D$4:$J$99,7,FALSE),"")</f>
        <v/>
      </c>
      <c r="D11" s="98"/>
      <c r="E11" s="128" t="str">
        <f>IFERROR(VLOOKUP(F11,Tabela2[[Descrição]:[ID. Risco]],2,FALSE),"")</f>
        <v/>
      </c>
      <c r="F11" s="97"/>
      <c r="G11" s="107"/>
      <c r="H11" s="99"/>
      <c r="I11" s="188"/>
      <c r="J11" s="100"/>
      <c r="K11" s="129" t="str">
        <f>IFERROR(VLOOKUP(J11,'04.Lista Riscos,Classificação'!$O$6:$Q$10,3,FALSE),"")</f>
        <v/>
      </c>
      <c r="L11" s="100"/>
      <c r="M11" s="129" t="str">
        <f>IFERROR(VLOOKUP(L11,'04.Lista Riscos,Classificação'!$O$13:$Q$18,3,FALSE),"")</f>
        <v/>
      </c>
      <c r="N11" s="130" t="str">
        <f t="shared" si="0"/>
        <v/>
      </c>
      <c r="O11" s="130" t="str">
        <f>IFERROR(VLOOKUP(N11,'04.Lista Riscos,Classificação'!$AS$4:$AT$28,2,FALSE),"")</f>
        <v/>
      </c>
      <c r="P11" s="132" t="str">
        <f>IFERROR(VLOOKUP(O11,'04.Lista Riscos,Classificação'!$AT$4:$AV$28,3,FALSE),"")</f>
        <v/>
      </c>
      <c r="Q11" s="101"/>
      <c r="R11" s="131" t="str">
        <f>IFERROR(VLOOKUP(O11,'04.Lista Riscos,Classificação'!$AZ$4:$BA$7,2,FALSE),"")</f>
        <v/>
      </c>
      <c r="S11" s="106"/>
      <c r="T11" s="185"/>
      <c r="U11" s="165" t="str">
        <f>IFERROR(VLOOKUP(T11,'04.Lista Riscos,Classificação'!$O$22:$Q$26,3,FALSE),"")</f>
        <v/>
      </c>
      <c r="V11" s="130" t="str">
        <f t="shared" si="1"/>
        <v/>
      </c>
      <c r="W11" s="130" t="str">
        <f>IFERROR(VLOOKUP(V11,'04.Lista Riscos,Classificação'!$AS$4:$AV$28,2,FALSE),"")</f>
        <v/>
      </c>
      <c r="X11" s="101"/>
      <c r="Y11" s="195"/>
    </row>
    <row r="12" spans="2:25" ht="54" customHeight="1">
      <c r="B12" s="148" t="str">
        <f>IFERROR(VLOOKUP(D12,'03.Inventário de Ativos'!$D$4:$E$866,2,FALSE),"")</f>
        <v/>
      </c>
      <c r="C12" s="148" t="str">
        <f>IFERROR(VLOOKUP(D12,'03.Inventário de Ativos'!$D$4:$J$99,7,FALSE),"")</f>
        <v/>
      </c>
      <c r="D12" s="98"/>
      <c r="E12" s="128" t="str">
        <f>IFERROR(VLOOKUP(F12,Tabela2[[Descrição]:[ID. Risco]],2,FALSE),"")</f>
        <v/>
      </c>
      <c r="F12" s="97"/>
      <c r="G12" s="107"/>
      <c r="H12" s="99"/>
      <c r="I12" s="188"/>
      <c r="J12" s="100"/>
      <c r="K12" s="129" t="str">
        <f>IFERROR(VLOOKUP(J12,'04.Lista Riscos,Classificação'!$O$6:$Q$10,3,FALSE),"")</f>
        <v/>
      </c>
      <c r="L12" s="100"/>
      <c r="M12" s="129" t="str">
        <f>IFERROR(VLOOKUP(L12,'04.Lista Riscos,Classificação'!$O$13:$Q$18,3,FALSE),"")</f>
        <v/>
      </c>
      <c r="N12" s="130" t="str">
        <f t="shared" si="0"/>
        <v/>
      </c>
      <c r="O12" s="130" t="str">
        <f>IFERROR(VLOOKUP(N12,'04.Lista Riscos,Classificação'!$AS$4:$AT$28,2,FALSE),"")</f>
        <v/>
      </c>
      <c r="P12" s="132" t="str">
        <f>IFERROR(VLOOKUP(O12,'04.Lista Riscos,Classificação'!$AT$4:$AV$28,3,FALSE),"")</f>
        <v/>
      </c>
      <c r="Q12" s="101"/>
      <c r="R12" s="131" t="str">
        <f>IFERROR(VLOOKUP(O12,'04.Lista Riscos,Classificação'!$AZ$4:$BA$7,2,FALSE),"")</f>
        <v/>
      </c>
      <c r="S12" s="106"/>
      <c r="T12" s="185"/>
      <c r="U12" s="165" t="str">
        <f>IFERROR(VLOOKUP(T12,'04.Lista Riscos,Classificação'!$O$22:$Q$26,3,FALSE),"")</f>
        <v/>
      </c>
      <c r="V12" s="130" t="str">
        <f t="shared" si="1"/>
        <v/>
      </c>
      <c r="W12" s="130" t="str">
        <f>IFERROR(VLOOKUP(V12,'04.Lista Riscos,Classificação'!$AS$4:$AV$28,2,FALSE),"")</f>
        <v/>
      </c>
      <c r="X12" s="101"/>
      <c r="Y12" s="195"/>
    </row>
    <row r="13" spans="2:25" ht="54" customHeight="1">
      <c r="B13" s="148" t="str">
        <f>IFERROR(VLOOKUP(D13,'03.Inventário de Ativos'!$D$4:$E$866,2,FALSE),"")</f>
        <v/>
      </c>
      <c r="C13" s="148" t="str">
        <f>IFERROR(VLOOKUP(D13,'03.Inventário de Ativos'!$D$4:$J$99,7,FALSE),"")</f>
        <v/>
      </c>
      <c r="D13" s="98"/>
      <c r="E13" s="128" t="str">
        <f>IFERROR(VLOOKUP(F13,Tabela2[[Descrição]:[ID. Risco]],2,FALSE),"")</f>
        <v/>
      </c>
      <c r="F13" s="97"/>
      <c r="G13" s="107"/>
      <c r="H13" s="99"/>
      <c r="I13" s="188"/>
      <c r="J13" s="100"/>
      <c r="K13" s="129" t="str">
        <f>IFERROR(VLOOKUP(J13,'04.Lista Riscos,Classificação'!$O$6:$Q$10,3,FALSE),"")</f>
        <v/>
      </c>
      <c r="L13" s="100"/>
      <c r="M13" s="129" t="str">
        <f>IFERROR(VLOOKUP(L13,'04.Lista Riscos,Classificação'!$O$13:$Q$18,3,FALSE),"")</f>
        <v/>
      </c>
      <c r="N13" s="130" t="str">
        <f t="shared" si="0"/>
        <v/>
      </c>
      <c r="O13" s="130"/>
      <c r="P13" s="132" t="str">
        <f>IFERROR(VLOOKUP(O13,'04.Lista Riscos,Classificação'!$AT$4:$AV$28,3,FALSE),"")</f>
        <v/>
      </c>
      <c r="Q13" s="101"/>
      <c r="R13" s="131" t="str">
        <f>IFERROR(VLOOKUP(O13,'04.Lista Riscos,Classificação'!$AZ$4:$BA$7,2,FALSE),"")</f>
        <v/>
      </c>
      <c r="S13" s="106"/>
      <c r="T13" s="185"/>
      <c r="U13" s="165" t="str">
        <f>IFERROR(VLOOKUP(T13,'04.Lista Riscos,Classificação'!$O$22:$Q$26,3,FALSE),"")</f>
        <v/>
      </c>
      <c r="V13" s="130" t="str">
        <f t="shared" si="1"/>
        <v/>
      </c>
      <c r="W13" s="130" t="str">
        <f>IFERROR(VLOOKUP(V13,'04.Lista Riscos,Classificação'!$AS$4:$AV$28,2,FALSE),"")</f>
        <v/>
      </c>
      <c r="X13" s="101"/>
      <c r="Y13" s="195"/>
    </row>
    <row r="14" spans="2:25" ht="54" customHeight="1">
      <c r="B14" s="148" t="str">
        <f>IFERROR(VLOOKUP(D14,'03.Inventário de Ativos'!$D$4:$E$866,2,FALSE),"")</f>
        <v/>
      </c>
      <c r="C14" s="148" t="str">
        <f>IFERROR(VLOOKUP(D14,'03.Inventário de Ativos'!$D$4:$J$99,7,FALSE),"")</f>
        <v/>
      </c>
      <c r="D14" s="98"/>
      <c r="E14" s="128" t="str">
        <f>IFERROR(VLOOKUP(F14,Tabela2[[Descrição]:[ID. Risco]],2,FALSE),"")</f>
        <v/>
      </c>
      <c r="F14" s="97"/>
      <c r="G14" s="107"/>
      <c r="H14" s="99"/>
      <c r="I14" s="188"/>
      <c r="J14" s="100"/>
      <c r="K14" s="129" t="str">
        <f>IFERROR(VLOOKUP(J14,'04.Lista Riscos,Classificação'!$O$6:$Q$10,3,FALSE),"")</f>
        <v/>
      </c>
      <c r="L14" s="100"/>
      <c r="M14" s="129" t="str">
        <f>IFERROR(VLOOKUP(L14,'04.Lista Riscos,Classificação'!$O$13:$Q$18,3,FALSE),"")</f>
        <v/>
      </c>
      <c r="N14" s="130" t="str">
        <f t="shared" si="0"/>
        <v/>
      </c>
      <c r="O14" s="130"/>
      <c r="P14" s="132" t="str">
        <f>IFERROR(VLOOKUP(O14,'04.Lista Riscos,Classificação'!$AT$4:$AV$28,3,FALSE),"")</f>
        <v/>
      </c>
      <c r="Q14" s="101"/>
      <c r="R14" s="131" t="str">
        <f>IFERROR(VLOOKUP(O14,'04.Lista Riscos,Classificação'!$AZ$4:$BA$7,2,FALSE),"")</f>
        <v/>
      </c>
      <c r="S14" s="106"/>
      <c r="T14" s="185"/>
      <c r="U14" s="165" t="str">
        <f>IFERROR(VLOOKUP(T14,'04.Lista Riscos,Classificação'!$O$22:$Q$26,3,FALSE),"")</f>
        <v/>
      </c>
      <c r="V14" s="130" t="str">
        <f t="shared" si="1"/>
        <v/>
      </c>
      <c r="W14" s="130" t="str">
        <f>IFERROR(VLOOKUP(V14,'04.Lista Riscos,Classificação'!$AS$4:$AV$28,2,FALSE),"")</f>
        <v/>
      </c>
      <c r="X14" s="101"/>
      <c r="Y14" s="195"/>
    </row>
    <row r="15" spans="2:25" ht="54" customHeight="1">
      <c r="B15" s="148" t="str">
        <f>IFERROR(VLOOKUP(D15,'03.Inventário de Ativos'!$D$4:$E$866,2,FALSE),"")</f>
        <v/>
      </c>
      <c r="C15" s="148" t="str">
        <f>IFERROR(VLOOKUP(D15,'03.Inventário de Ativos'!$D$4:$J$99,7,FALSE),"")</f>
        <v/>
      </c>
      <c r="D15" s="98"/>
      <c r="E15" s="128" t="str">
        <f>IFERROR(VLOOKUP(F15,Tabela2[[Descrição]:[ID. Risco]],2,FALSE),"")</f>
        <v/>
      </c>
      <c r="F15" s="97"/>
      <c r="G15" s="107"/>
      <c r="H15" s="99"/>
      <c r="I15" s="188"/>
      <c r="J15" s="100"/>
      <c r="K15" s="129" t="str">
        <f>IFERROR(VLOOKUP(J15,'04.Lista Riscos,Classificação'!$O$6:$Q$10,3,FALSE),"")</f>
        <v/>
      </c>
      <c r="L15" s="100"/>
      <c r="M15" s="129" t="str">
        <f>IFERROR(VLOOKUP(L15,'04.Lista Riscos,Classificação'!$O$13:$Q$18,3,FALSE),"")</f>
        <v/>
      </c>
      <c r="N15" s="130" t="str">
        <f t="shared" si="0"/>
        <v/>
      </c>
      <c r="O15" s="130"/>
      <c r="P15" s="132" t="str">
        <f>IFERROR(VLOOKUP(O15,'04.Lista Riscos,Classificação'!$AT$4:$AV$28,3,FALSE),"")</f>
        <v/>
      </c>
      <c r="Q15" s="101"/>
      <c r="R15" s="131" t="str">
        <f>IFERROR(VLOOKUP(O15,'04.Lista Riscos,Classificação'!$AZ$4:$BA$7,2,FALSE),"")</f>
        <v/>
      </c>
      <c r="S15" s="106"/>
      <c r="T15" s="185"/>
      <c r="U15" s="165" t="str">
        <f>IFERROR(VLOOKUP(T15,'04.Lista Riscos,Classificação'!$O$22:$Q$26,3,FALSE),"")</f>
        <v/>
      </c>
      <c r="V15" s="130" t="str">
        <f t="shared" si="1"/>
        <v/>
      </c>
      <c r="W15" s="130" t="str">
        <f>IFERROR(VLOOKUP(V15,'04.Lista Riscos,Classificação'!$AS$4:$AV$28,2,FALSE),"")</f>
        <v/>
      </c>
      <c r="X15" s="101"/>
      <c r="Y15" s="195"/>
    </row>
    <row r="16" spans="2:25" ht="54" customHeight="1">
      <c r="B16" s="148" t="str">
        <f>IFERROR(VLOOKUP(D16,'03.Inventário de Ativos'!$D$4:$E$866,2,FALSE),"")</f>
        <v/>
      </c>
      <c r="C16" s="148" t="str">
        <f>IFERROR(VLOOKUP(D16,'03.Inventário de Ativos'!$D$4:$J$99,7,FALSE),"")</f>
        <v/>
      </c>
      <c r="D16" s="98"/>
      <c r="E16" s="128" t="str">
        <f>IFERROR(VLOOKUP(F16,Tabela2[[Descrição]:[ID. Risco]],2,FALSE),"")</f>
        <v/>
      </c>
      <c r="F16" s="97"/>
      <c r="G16" s="107"/>
      <c r="H16" s="99"/>
      <c r="I16" s="188"/>
      <c r="J16" s="100"/>
      <c r="K16" s="129" t="str">
        <f>IFERROR(VLOOKUP(J16,'04.Lista Riscos,Classificação'!$O$6:$Q$10,3,FALSE),"")</f>
        <v/>
      </c>
      <c r="L16" s="100"/>
      <c r="M16" s="129" t="str">
        <f>IFERROR(VLOOKUP(L16,'04.Lista Riscos,Classificação'!$O$13:$Q$18,3,FALSE),"")</f>
        <v/>
      </c>
      <c r="N16" s="130" t="str">
        <f t="shared" si="0"/>
        <v/>
      </c>
      <c r="O16" s="130"/>
      <c r="P16" s="132" t="str">
        <f>IFERROR(VLOOKUP(O16,'04.Lista Riscos,Classificação'!$AT$4:$AV$28,3,FALSE),"")</f>
        <v/>
      </c>
      <c r="Q16" s="101"/>
      <c r="R16" s="131" t="str">
        <f>IFERROR(VLOOKUP(O16,'04.Lista Riscos,Classificação'!$AZ$4:$BA$7,2,FALSE),"")</f>
        <v/>
      </c>
      <c r="S16" s="106"/>
      <c r="T16" s="185"/>
      <c r="U16" s="165" t="str">
        <f>IFERROR(VLOOKUP(T16,'04.Lista Riscos,Classificação'!$O$22:$Q$26,3,FALSE),"")</f>
        <v/>
      </c>
      <c r="V16" s="130" t="str">
        <f t="shared" si="1"/>
        <v/>
      </c>
      <c r="W16" s="130" t="str">
        <f>IFERROR(VLOOKUP(V16,'04.Lista Riscos,Classificação'!$AS$4:$AV$28,2,FALSE),"")</f>
        <v/>
      </c>
      <c r="X16" s="101"/>
      <c r="Y16" s="195"/>
    </row>
    <row r="17" spans="2:25" ht="54" customHeight="1">
      <c r="B17" s="148" t="str">
        <f>IFERROR(VLOOKUP(D17,'03.Inventário de Ativos'!$D$4:$E$866,2,FALSE),"")</f>
        <v/>
      </c>
      <c r="C17" s="148" t="str">
        <f>IFERROR(VLOOKUP(D17,'03.Inventário de Ativos'!$D$4:$J$99,7,FALSE),"")</f>
        <v/>
      </c>
      <c r="D17" s="98"/>
      <c r="E17" s="128" t="str">
        <f>IFERROR(VLOOKUP(F17,Tabela2[[Descrição]:[ID. Risco]],2,FALSE),"")</f>
        <v/>
      </c>
      <c r="F17" s="97"/>
      <c r="G17" s="107"/>
      <c r="H17" s="99"/>
      <c r="I17" s="188"/>
      <c r="J17" s="100"/>
      <c r="K17" s="129" t="str">
        <f>IFERROR(VLOOKUP(J17,'04.Lista Riscos,Classificação'!$O$6:$Q$10,3,FALSE),"")</f>
        <v/>
      </c>
      <c r="L17" s="100"/>
      <c r="M17" s="129" t="str">
        <f>IFERROR(VLOOKUP(L17,'04.Lista Riscos,Classificação'!$O$13:$Q$18,3,FALSE),"")</f>
        <v/>
      </c>
      <c r="N17" s="130" t="str">
        <f t="shared" si="0"/>
        <v/>
      </c>
      <c r="O17" s="130"/>
      <c r="P17" s="132" t="str">
        <f>IFERROR(VLOOKUP(O17,'04.Lista Riscos,Classificação'!$AT$4:$AV$28,3,FALSE),"")</f>
        <v/>
      </c>
      <c r="Q17" s="101"/>
      <c r="R17" s="131" t="str">
        <f>IFERROR(VLOOKUP(O17,'04.Lista Riscos,Classificação'!$AZ$4:$BA$7,2,FALSE),"")</f>
        <v/>
      </c>
      <c r="S17" s="106"/>
      <c r="T17" s="185"/>
      <c r="U17" s="165" t="str">
        <f>IFERROR(VLOOKUP(T17,'04.Lista Riscos,Classificação'!$O$22:$Q$26,3,FALSE),"")</f>
        <v/>
      </c>
      <c r="V17" s="130" t="str">
        <f t="shared" si="1"/>
        <v/>
      </c>
      <c r="W17" s="130" t="str">
        <f>IFERROR(VLOOKUP(V17,'04.Lista Riscos,Classificação'!$AS$4:$AV$28,2,FALSE),"")</f>
        <v/>
      </c>
      <c r="X17" s="101"/>
      <c r="Y17" s="195"/>
    </row>
    <row r="18" spans="2:25" ht="54" customHeight="1">
      <c r="B18" s="148" t="str">
        <f>IFERROR(VLOOKUP(D18,'03.Inventário de Ativos'!$D$4:$E$866,2,FALSE),"")</f>
        <v/>
      </c>
      <c r="C18" s="148" t="str">
        <f>IFERROR(VLOOKUP(D18,'03.Inventário de Ativos'!$D$4:$J$99,7,FALSE),"")</f>
        <v/>
      </c>
      <c r="D18" s="98"/>
      <c r="E18" s="128" t="str">
        <f>IFERROR(VLOOKUP(F18,Tabela2[[Descrição]:[ID. Risco]],2,FALSE),"")</f>
        <v/>
      </c>
      <c r="F18" s="97"/>
      <c r="G18" s="107"/>
      <c r="H18" s="99"/>
      <c r="I18" s="188"/>
      <c r="J18" s="100"/>
      <c r="K18" s="129" t="str">
        <f>IFERROR(VLOOKUP(J18,'04.Lista Riscos,Classificação'!$O$6:$Q$10,3,FALSE),"")</f>
        <v/>
      </c>
      <c r="L18" s="100"/>
      <c r="M18" s="129" t="str">
        <f>IFERROR(VLOOKUP(L18,'04.Lista Riscos,Classificação'!$O$13:$Q$18,3,FALSE),"")</f>
        <v/>
      </c>
      <c r="N18" s="130" t="str">
        <f t="shared" si="0"/>
        <v/>
      </c>
      <c r="O18" s="130"/>
      <c r="P18" s="132" t="str">
        <f>IFERROR(VLOOKUP(O18,'04.Lista Riscos,Classificação'!$AT$4:$AV$28,3,FALSE),"")</f>
        <v/>
      </c>
      <c r="Q18" s="101"/>
      <c r="R18" s="131" t="str">
        <f>IFERROR(VLOOKUP(O18,'04.Lista Riscos,Classificação'!$AZ$4:$BA$7,2,FALSE),"")</f>
        <v/>
      </c>
      <c r="S18" s="106"/>
      <c r="T18" s="185"/>
      <c r="U18" s="165" t="str">
        <f>IFERROR(VLOOKUP(T18,'04.Lista Riscos,Classificação'!$O$22:$Q$26,3,FALSE),"")</f>
        <v/>
      </c>
      <c r="V18" s="130" t="str">
        <f t="shared" si="1"/>
        <v/>
      </c>
      <c r="W18" s="130" t="str">
        <f>IFERROR(VLOOKUP(V18,'04.Lista Riscos,Classificação'!$AS$4:$AV$28,2,FALSE),"")</f>
        <v/>
      </c>
      <c r="X18" s="101"/>
      <c r="Y18" s="195"/>
    </row>
    <row r="19" spans="2:25" ht="54" customHeight="1">
      <c r="B19" s="148" t="str">
        <f>IFERROR(VLOOKUP(D19,'03.Inventário de Ativos'!$D$4:$E$866,2,FALSE),"")</f>
        <v/>
      </c>
      <c r="C19" s="148" t="str">
        <f>IFERROR(VLOOKUP(D19,'03.Inventário de Ativos'!$D$4:$J$99,7,FALSE),"")</f>
        <v/>
      </c>
      <c r="D19" s="98"/>
      <c r="E19" s="128" t="str">
        <f>IFERROR(VLOOKUP(F19,Tabela2[[Descrição]:[ID. Risco]],2,FALSE),"")</f>
        <v/>
      </c>
      <c r="F19" s="97"/>
      <c r="G19" s="107"/>
      <c r="H19" s="99"/>
      <c r="I19" s="188"/>
      <c r="J19" s="100"/>
      <c r="K19" s="129" t="str">
        <f>IFERROR(VLOOKUP(J19,'04.Lista Riscos,Classificação'!$O$6:$Q$10,3,FALSE),"")</f>
        <v/>
      </c>
      <c r="L19" s="100"/>
      <c r="M19" s="129" t="str">
        <f>IFERROR(VLOOKUP(L19,'04.Lista Riscos,Classificação'!$O$13:$Q$18,3,FALSE),"")</f>
        <v/>
      </c>
      <c r="N19" s="130" t="str">
        <f t="shared" si="0"/>
        <v/>
      </c>
      <c r="O19" s="130"/>
      <c r="P19" s="132" t="str">
        <f>IFERROR(VLOOKUP(O19,'04.Lista Riscos,Classificação'!$AT$4:$AV$28,3,FALSE),"")</f>
        <v/>
      </c>
      <c r="Q19" s="101"/>
      <c r="R19" s="131" t="str">
        <f>IFERROR(VLOOKUP(O19,'04.Lista Riscos,Classificação'!$AZ$4:$BA$7,2,FALSE),"")</f>
        <v/>
      </c>
      <c r="S19" s="106"/>
      <c r="T19" s="185"/>
      <c r="U19" s="165" t="str">
        <f>IFERROR(VLOOKUP(T19,'04.Lista Riscos,Classificação'!$O$22:$Q$26,3,FALSE),"")</f>
        <v/>
      </c>
      <c r="V19" s="130" t="str">
        <f t="shared" si="1"/>
        <v/>
      </c>
      <c r="W19" s="130" t="str">
        <f>IFERROR(VLOOKUP(V19,'04.Lista Riscos,Classificação'!$AS$4:$AV$28,2,FALSE),"")</f>
        <v/>
      </c>
      <c r="X19" s="101"/>
      <c r="Y19" s="195"/>
    </row>
    <row r="20" spans="2:25" ht="54" customHeight="1">
      <c r="B20" s="148" t="str">
        <f>IFERROR(VLOOKUP(D20,'03.Inventário de Ativos'!$D$4:$E$866,2,FALSE),"")</f>
        <v/>
      </c>
      <c r="C20" s="148" t="str">
        <f>IFERROR(VLOOKUP(D20,'03.Inventário de Ativos'!$D$4:$J$99,7,FALSE),"")</f>
        <v/>
      </c>
      <c r="D20" s="98"/>
      <c r="E20" s="128" t="str">
        <f>IFERROR(VLOOKUP(F20,Tabela2[[Descrição]:[ID. Risco]],2,FALSE),"")</f>
        <v/>
      </c>
      <c r="F20" s="97"/>
      <c r="G20" s="107"/>
      <c r="H20" s="99"/>
      <c r="I20" s="188"/>
      <c r="J20" s="100"/>
      <c r="K20" s="129" t="str">
        <f>IFERROR(VLOOKUP(J20,'04.Lista Riscos,Classificação'!$O$6:$Q$10,3,FALSE),"")</f>
        <v/>
      </c>
      <c r="L20" s="100"/>
      <c r="M20" s="129" t="str">
        <f>IFERROR(VLOOKUP(L20,'04.Lista Riscos,Classificação'!$O$13:$Q$18,3,FALSE),"")</f>
        <v/>
      </c>
      <c r="N20" s="130" t="str">
        <f t="shared" si="0"/>
        <v/>
      </c>
      <c r="O20" s="130"/>
      <c r="P20" s="132" t="str">
        <f>IFERROR(VLOOKUP(O20,'04.Lista Riscos,Classificação'!$AT$4:$AV$28,3,FALSE),"")</f>
        <v/>
      </c>
      <c r="Q20" s="101"/>
      <c r="R20" s="131" t="str">
        <f>IFERROR(VLOOKUP(O20,'04.Lista Riscos,Classificação'!$AZ$4:$BA$7,2,FALSE),"")</f>
        <v/>
      </c>
      <c r="S20" s="106"/>
      <c r="T20" s="185"/>
      <c r="U20" s="165" t="str">
        <f>IFERROR(VLOOKUP(T20,'04.Lista Riscos,Classificação'!$O$22:$Q$26,3,FALSE),"")</f>
        <v/>
      </c>
      <c r="V20" s="130" t="str">
        <f t="shared" si="1"/>
        <v/>
      </c>
      <c r="W20" s="130" t="str">
        <f>IFERROR(VLOOKUP(V20,'04.Lista Riscos,Classificação'!$AS$4:$AV$28,2,FALSE),"")</f>
        <v/>
      </c>
      <c r="X20" s="101"/>
      <c r="Y20" s="195"/>
    </row>
    <row r="21" spans="2:25" ht="54" customHeight="1">
      <c r="B21" s="148" t="str">
        <f>IFERROR(VLOOKUP(D21,'03.Inventário de Ativos'!$D$4:$E$866,2,FALSE),"")</f>
        <v/>
      </c>
      <c r="C21" s="148" t="str">
        <f>IFERROR(VLOOKUP(D21,'03.Inventário de Ativos'!$D$4:$J$99,7,FALSE),"")</f>
        <v/>
      </c>
      <c r="D21" s="98"/>
      <c r="E21" s="128" t="str">
        <f>IFERROR(VLOOKUP(F21,Tabela2[[Descrição]:[ID. Risco]],2,FALSE),"")</f>
        <v/>
      </c>
      <c r="F21" s="97"/>
      <c r="G21" s="107"/>
      <c r="H21" s="99"/>
      <c r="I21" s="188"/>
      <c r="J21" s="100"/>
      <c r="K21" s="129" t="str">
        <f>IFERROR(VLOOKUP(J21,'04.Lista Riscos,Classificação'!$O$6:$Q$10,3,FALSE),"")</f>
        <v/>
      </c>
      <c r="L21" s="100"/>
      <c r="M21" s="129" t="str">
        <f>IFERROR(VLOOKUP(L21,'04.Lista Riscos,Classificação'!$O$13:$Q$18,3,FALSE),"")</f>
        <v/>
      </c>
      <c r="N21" s="130" t="str">
        <f t="shared" si="0"/>
        <v/>
      </c>
      <c r="O21" s="130"/>
      <c r="P21" s="132" t="str">
        <f>IFERROR(VLOOKUP(O21,'04.Lista Riscos,Classificação'!$AT$4:$AV$28,3,FALSE),"")</f>
        <v/>
      </c>
      <c r="Q21" s="101"/>
      <c r="R21" s="131" t="str">
        <f>IFERROR(VLOOKUP(O21,'04.Lista Riscos,Classificação'!$AZ$4:$BA$7,2,FALSE),"")</f>
        <v/>
      </c>
      <c r="S21" s="106"/>
      <c r="T21" s="185"/>
      <c r="U21" s="165" t="str">
        <f>IFERROR(VLOOKUP(T21,'04.Lista Riscos,Classificação'!$O$22:$Q$26,3,FALSE),"")</f>
        <v/>
      </c>
      <c r="V21" s="130" t="str">
        <f t="shared" si="1"/>
        <v/>
      </c>
      <c r="W21" s="130" t="str">
        <f>IFERROR(VLOOKUP(V21,'04.Lista Riscos,Classificação'!$AS$4:$AV$28,2,FALSE),"")</f>
        <v/>
      </c>
      <c r="X21" s="101"/>
      <c r="Y21" s="195"/>
    </row>
    <row r="22" spans="2:25" ht="54" customHeight="1">
      <c r="B22" s="148" t="str">
        <f>IFERROR(VLOOKUP(D22,'03.Inventário de Ativos'!$D$4:$E$866,2,FALSE),"")</f>
        <v/>
      </c>
      <c r="C22" s="148" t="str">
        <f>IFERROR(VLOOKUP(D22,'03.Inventário de Ativos'!$D$4:$J$99,7,FALSE),"")</f>
        <v/>
      </c>
      <c r="D22" s="98"/>
      <c r="E22" s="128" t="str">
        <f>IFERROR(VLOOKUP(F22,Tabela2[[Descrição]:[ID. Risco]],2,FALSE),"")</f>
        <v/>
      </c>
      <c r="F22" s="97"/>
      <c r="G22" s="107"/>
      <c r="H22" s="99"/>
      <c r="I22" s="188"/>
      <c r="J22" s="100"/>
      <c r="K22" s="129" t="str">
        <f>IFERROR(VLOOKUP(J22,'04.Lista Riscos,Classificação'!$O$6:$Q$10,3,FALSE),"")</f>
        <v/>
      </c>
      <c r="L22" s="100"/>
      <c r="M22" s="129" t="str">
        <f>IFERROR(VLOOKUP(L22,'04.Lista Riscos,Classificação'!$O$13:$Q$18,3,FALSE),"")</f>
        <v/>
      </c>
      <c r="N22" s="130" t="str">
        <f t="shared" si="0"/>
        <v/>
      </c>
      <c r="O22" s="130"/>
      <c r="P22" s="132" t="str">
        <f>IFERROR(VLOOKUP(O22,'04.Lista Riscos,Classificação'!$AT$4:$AV$28,3,FALSE),"")</f>
        <v/>
      </c>
      <c r="Q22" s="101"/>
      <c r="R22" s="131" t="str">
        <f>IFERROR(VLOOKUP(O22,'04.Lista Riscos,Classificação'!$AZ$4:$BA$7,2,FALSE),"")</f>
        <v/>
      </c>
      <c r="S22" s="106"/>
      <c r="T22" s="185"/>
      <c r="U22" s="165" t="str">
        <f>IFERROR(VLOOKUP(T22,'04.Lista Riscos,Classificação'!$O$22:$Q$26,3,FALSE),"")</f>
        <v/>
      </c>
      <c r="V22" s="130" t="str">
        <f t="shared" si="1"/>
        <v/>
      </c>
      <c r="W22" s="130" t="str">
        <f>IFERROR(VLOOKUP(V22,'04.Lista Riscos,Classificação'!$AS$4:$AV$28,2,FALSE),"")</f>
        <v/>
      </c>
      <c r="X22" s="101"/>
      <c r="Y22" s="195"/>
    </row>
    <row r="23" spans="2:25" ht="54" customHeight="1">
      <c r="B23" s="148" t="str">
        <f>IFERROR(VLOOKUP(D23,'03.Inventário de Ativos'!$D$4:$E$866,2,FALSE),"")</f>
        <v/>
      </c>
      <c r="C23" s="148" t="str">
        <f>IFERROR(VLOOKUP(D23,'03.Inventário de Ativos'!$D$4:$J$99,7,FALSE),"")</f>
        <v/>
      </c>
      <c r="D23" s="98"/>
      <c r="E23" s="128" t="str">
        <f>IFERROR(VLOOKUP(F23,Tabela2[[Descrição]:[ID. Risco]],2,FALSE),"")</f>
        <v/>
      </c>
      <c r="F23" s="97"/>
      <c r="G23" s="107"/>
      <c r="H23" s="99"/>
      <c r="I23" s="188"/>
      <c r="J23" s="100"/>
      <c r="K23" s="129" t="str">
        <f>IFERROR(VLOOKUP(J23,'04.Lista Riscos,Classificação'!$O$6:$Q$10,3,FALSE),"")</f>
        <v/>
      </c>
      <c r="L23" s="100"/>
      <c r="M23" s="129" t="str">
        <f>IFERROR(VLOOKUP(L23,'04.Lista Riscos,Classificação'!$O$13:$Q$18,3,FALSE),"")</f>
        <v/>
      </c>
      <c r="N23" s="130" t="str">
        <f t="shared" si="0"/>
        <v/>
      </c>
      <c r="O23" s="130"/>
      <c r="P23" s="132" t="str">
        <f>IFERROR(VLOOKUP(O23,'04.Lista Riscos,Classificação'!$AT$4:$AV$28,3,FALSE),"")</f>
        <v/>
      </c>
      <c r="Q23" s="101"/>
      <c r="R23" s="131" t="str">
        <f>IFERROR(VLOOKUP(O23,'04.Lista Riscos,Classificação'!$AZ$4:$BA$7,2,FALSE),"")</f>
        <v/>
      </c>
      <c r="S23" s="106"/>
      <c r="T23" s="185"/>
      <c r="U23" s="165" t="str">
        <f>IFERROR(VLOOKUP(T23,'04.Lista Riscos,Classificação'!$O$22:$Q$26,3,FALSE),"")</f>
        <v/>
      </c>
      <c r="V23" s="130" t="str">
        <f t="shared" si="1"/>
        <v/>
      </c>
      <c r="W23" s="130" t="str">
        <f>IFERROR(VLOOKUP(V23,'04.Lista Riscos,Classificação'!$AS$4:$AV$28,2,FALSE),"")</f>
        <v/>
      </c>
      <c r="X23" s="101"/>
      <c r="Y23" s="195"/>
    </row>
    <row r="24" spans="2:25" ht="54" customHeight="1">
      <c r="B24" s="148" t="str">
        <f>IFERROR(VLOOKUP(D24,'03.Inventário de Ativos'!$D$4:$E$866,2,FALSE),"")</f>
        <v/>
      </c>
      <c r="C24" s="148" t="str">
        <f>IFERROR(VLOOKUP(D24,'03.Inventário de Ativos'!$D$4:$J$99,7,FALSE),"")</f>
        <v/>
      </c>
      <c r="D24" s="98"/>
      <c r="E24" s="128" t="str">
        <f>IFERROR(VLOOKUP(F24,Tabela2[[Descrição]:[ID. Risco]],2,FALSE),"")</f>
        <v/>
      </c>
      <c r="F24" s="97"/>
      <c r="G24" s="107"/>
      <c r="H24" s="99"/>
      <c r="I24" s="188"/>
      <c r="J24" s="100"/>
      <c r="K24" s="129" t="str">
        <f>IFERROR(VLOOKUP(J24,'04.Lista Riscos,Classificação'!$O$6:$Q$10,3,FALSE),"")</f>
        <v/>
      </c>
      <c r="L24" s="100"/>
      <c r="M24" s="129" t="str">
        <f>IFERROR(VLOOKUP(L24,'04.Lista Riscos,Classificação'!$O$13:$Q$18,3,FALSE),"")</f>
        <v/>
      </c>
      <c r="N24" s="130" t="str">
        <f t="shared" si="0"/>
        <v/>
      </c>
      <c r="O24" s="130"/>
      <c r="P24" s="132" t="str">
        <f>IFERROR(VLOOKUP(O24,'04.Lista Riscos,Classificação'!$AT$4:$AV$28,3,FALSE),"")</f>
        <v/>
      </c>
      <c r="Q24" s="101"/>
      <c r="R24" s="131" t="str">
        <f>IFERROR(VLOOKUP(O24,'04.Lista Riscos,Classificação'!$AZ$4:$BA$7,2,FALSE),"")</f>
        <v/>
      </c>
      <c r="S24" s="106"/>
      <c r="T24" s="185"/>
      <c r="U24" s="165" t="str">
        <f>IFERROR(VLOOKUP(T24,'04.Lista Riscos,Classificação'!$O$22:$Q$26,3,FALSE),"")</f>
        <v/>
      </c>
      <c r="V24" s="130" t="str">
        <f t="shared" si="1"/>
        <v/>
      </c>
      <c r="W24" s="130" t="str">
        <f>IFERROR(VLOOKUP(V24,'04.Lista Riscos,Classificação'!$AS$4:$AV$28,2,FALSE),"")</f>
        <v/>
      </c>
      <c r="X24" s="101"/>
      <c r="Y24" s="195"/>
    </row>
    <row r="25" spans="2:25" ht="54" customHeight="1">
      <c r="B25" s="148" t="str">
        <f>IFERROR(VLOOKUP(D25,'03.Inventário de Ativos'!$D$4:$E$866,2,FALSE),"")</f>
        <v/>
      </c>
      <c r="C25" s="148" t="str">
        <f>IFERROR(VLOOKUP(D25,'03.Inventário de Ativos'!$D$4:$J$99,7,FALSE),"")</f>
        <v/>
      </c>
      <c r="D25" s="98"/>
      <c r="E25" s="128" t="str">
        <f>IFERROR(VLOOKUP(F25,Tabela2[[Descrição]:[ID. Risco]],2,FALSE),"")</f>
        <v/>
      </c>
      <c r="F25" s="97"/>
      <c r="G25" s="107"/>
      <c r="H25" s="99"/>
      <c r="I25" s="188"/>
      <c r="J25" s="100"/>
      <c r="K25" s="129" t="str">
        <f>IFERROR(VLOOKUP(J25,'04.Lista Riscos,Classificação'!$O$6:$Q$10,3,FALSE),"")</f>
        <v/>
      </c>
      <c r="L25" s="100"/>
      <c r="M25" s="129" t="str">
        <f>IFERROR(VLOOKUP(L25,'04.Lista Riscos,Classificação'!$O$13:$Q$18,3,FALSE),"")</f>
        <v/>
      </c>
      <c r="N25" s="130" t="str">
        <f t="shared" si="0"/>
        <v/>
      </c>
      <c r="O25" s="130"/>
      <c r="P25" s="132" t="str">
        <f>IFERROR(VLOOKUP(O25,'04.Lista Riscos,Classificação'!$AT$4:$AV$28,3,FALSE),"")</f>
        <v/>
      </c>
      <c r="Q25" s="101"/>
      <c r="R25" s="131" t="str">
        <f>IFERROR(VLOOKUP(O25,'04.Lista Riscos,Classificação'!$AZ$4:$BA$7,2,FALSE),"")</f>
        <v/>
      </c>
      <c r="S25" s="106"/>
      <c r="T25" s="185"/>
      <c r="U25" s="165" t="str">
        <f>IFERROR(VLOOKUP(T25,'04.Lista Riscos,Classificação'!$O$22:$Q$26,3,FALSE),"")</f>
        <v/>
      </c>
      <c r="V25" s="130" t="str">
        <f t="shared" si="1"/>
        <v/>
      </c>
      <c r="W25" s="130" t="str">
        <f>IFERROR(VLOOKUP(V25,'04.Lista Riscos,Classificação'!$AS$4:$AV$28,2,FALSE),"")</f>
        <v/>
      </c>
      <c r="X25" s="101"/>
      <c r="Y25" s="195"/>
    </row>
    <row r="26" spans="2:25" ht="54" customHeight="1">
      <c r="B26" s="148" t="str">
        <f>IFERROR(VLOOKUP(D26,'03.Inventário de Ativos'!$D$4:$E$866,2,FALSE),"")</f>
        <v/>
      </c>
      <c r="C26" s="148" t="str">
        <f>IFERROR(VLOOKUP(D26,'03.Inventário de Ativos'!$D$4:$J$99,7,FALSE),"")</f>
        <v/>
      </c>
      <c r="D26" s="98"/>
      <c r="E26" s="128" t="str">
        <f>IFERROR(VLOOKUP(F26,Tabela2[[Descrição]:[ID. Risco]],2,FALSE),"")</f>
        <v/>
      </c>
      <c r="F26" s="97"/>
      <c r="G26" s="107"/>
      <c r="H26" s="99"/>
      <c r="I26" s="188"/>
      <c r="J26" s="100"/>
      <c r="K26" s="129" t="str">
        <f>IFERROR(VLOOKUP(J26,'04.Lista Riscos,Classificação'!$O$6:$Q$10,3,FALSE),"")</f>
        <v/>
      </c>
      <c r="L26" s="100"/>
      <c r="M26" s="129" t="str">
        <f>IFERROR(VLOOKUP(L26,'04.Lista Riscos,Classificação'!$O$13:$Q$18,3,FALSE),"")</f>
        <v/>
      </c>
      <c r="N26" s="130" t="str">
        <f t="shared" si="0"/>
        <v/>
      </c>
      <c r="O26" s="130"/>
      <c r="P26" s="132" t="str">
        <f>IFERROR(VLOOKUP(O26,'04.Lista Riscos,Classificação'!$AT$4:$AV$28,3,FALSE),"")</f>
        <v/>
      </c>
      <c r="Q26" s="101"/>
      <c r="R26" s="131" t="str">
        <f>IFERROR(VLOOKUP(O26,'04.Lista Riscos,Classificação'!$AZ$4:$BA$7,2,FALSE),"")</f>
        <v/>
      </c>
      <c r="S26" s="106"/>
      <c r="T26" s="185"/>
      <c r="U26" s="165" t="str">
        <f>IFERROR(VLOOKUP(T26,'04.Lista Riscos,Classificação'!$O$22:$Q$26,3,FALSE),"")</f>
        <v/>
      </c>
      <c r="V26" s="130" t="str">
        <f t="shared" si="1"/>
        <v/>
      </c>
      <c r="W26" s="130" t="str">
        <f>IFERROR(VLOOKUP(V26,'04.Lista Riscos,Classificação'!$AS$4:$AV$28,2,FALSE),"")</f>
        <v/>
      </c>
      <c r="X26" s="101"/>
      <c r="Y26" s="195"/>
    </row>
    <row r="27" spans="2:25" ht="54" customHeight="1">
      <c r="B27" s="148" t="str">
        <f>IFERROR(VLOOKUP(D27,'03.Inventário de Ativos'!$D$4:$E$866,2,FALSE),"")</f>
        <v/>
      </c>
      <c r="C27" s="148" t="str">
        <f>IFERROR(VLOOKUP(D27,'03.Inventário de Ativos'!$D$4:$J$99,7,FALSE),"")</f>
        <v/>
      </c>
      <c r="D27" s="98"/>
      <c r="E27" s="128" t="str">
        <f>IFERROR(VLOOKUP(F27,Tabela2[[Descrição]:[ID. Risco]],2,FALSE),"")</f>
        <v/>
      </c>
      <c r="F27" s="97"/>
      <c r="G27" s="107"/>
      <c r="H27" s="99"/>
      <c r="I27" s="188"/>
      <c r="J27" s="100"/>
      <c r="K27" s="129" t="str">
        <f>IFERROR(VLOOKUP(J27,'04.Lista Riscos,Classificação'!$O$6:$Q$10,3,FALSE),"")</f>
        <v/>
      </c>
      <c r="L27" s="100"/>
      <c r="M27" s="129" t="str">
        <f>IFERROR(VLOOKUP(L27,'04.Lista Riscos,Classificação'!$O$13:$Q$18,3,FALSE),"")</f>
        <v/>
      </c>
      <c r="N27" s="130" t="str">
        <f t="shared" si="0"/>
        <v/>
      </c>
      <c r="O27" s="130"/>
      <c r="P27" s="132" t="str">
        <f>IFERROR(VLOOKUP(O27,'04.Lista Riscos,Classificação'!$AT$4:$AV$28,3,FALSE),"")</f>
        <v/>
      </c>
      <c r="Q27" s="101"/>
      <c r="R27" s="131" t="str">
        <f>IFERROR(VLOOKUP(O27,'04.Lista Riscos,Classificação'!$AZ$4:$BA$7,2,FALSE),"")</f>
        <v/>
      </c>
      <c r="S27" s="106"/>
      <c r="T27" s="185"/>
      <c r="U27" s="165" t="str">
        <f>IFERROR(VLOOKUP(T27,'04.Lista Riscos,Classificação'!$O$22:$Q$26,3,FALSE),"")</f>
        <v/>
      </c>
      <c r="V27" s="130" t="str">
        <f t="shared" si="1"/>
        <v/>
      </c>
      <c r="W27" s="130" t="str">
        <f>IFERROR(VLOOKUP(V27,'04.Lista Riscos,Classificação'!$AS$4:$AV$28,2,FALSE),"")</f>
        <v/>
      </c>
      <c r="X27" s="101"/>
      <c r="Y27" s="195"/>
    </row>
    <row r="28" spans="2:25" ht="54" customHeight="1">
      <c r="B28" s="148" t="str">
        <f>IFERROR(VLOOKUP(D28,'03.Inventário de Ativos'!$D$4:$E$866,2,FALSE),"")</f>
        <v/>
      </c>
      <c r="C28" s="148" t="str">
        <f>IFERROR(VLOOKUP(D28,'03.Inventário de Ativos'!$D$4:$J$99,7,FALSE),"")</f>
        <v/>
      </c>
      <c r="D28" s="98"/>
      <c r="E28" s="128" t="str">
        <f>IFERROR(VLOOKUP(F28,Tabela2[[Descrição]:[ID. Risco]],2,FALSE),"")</f>
        <v/>
      </c>
      <c r="F28" s="97"/>
      <c r="G28" s="107"/>
      <c r="H28" s="99"/>
      <c r="I28" s="188"/>
      <c r="J28" s="100"/>
      <c r="K28" s="129" t="str">
        <f>IFERROR(VLOOKUP(J28,'04.Lista Riscos,Classificação'!$O$6:$Q$10,3,FALSE),"")</f>
        <v/>
      </c>
      <c r="L28" s="100"/>
      <c r="M28" s="129" t="str">
        <f>IFERROR(VLOOKUP(L28,'04.Lista Riscos,Classificação'!$O$13:$Q$18,3,FALSE),"")</f>
        <v/>
      </c>
      <c r="N28" s="130" t="str">
        <f t="shared" si="0"/>
        <v/>
      </c>
      <c r="O28" s="130"/>
      <c r="P28" s="132" t="str">
        <f>IFERROR(VLOOKUP(O28,'04.Lista Riscos,Classificação'!$AT$4:$AV$28,3,FALSE),"")</f>
        <v/>
      </c>
      <c r="Q28" s="101"/>
      <c r="R28" s="131" t="str">
        <f>IFERROR(VLOOKUP(O28,'04.Lista Riscos,Classificação'!$AZ$4:$BA$7,2,FALSE),"")</f>
        <v/>
      </c>
      <c r="S28" s="106"/>
      <c r="T28" s="185"/>
      <c r="U28" s="165" t="str">
        <f>IFERROR(VLOOKUP(T28,'04.Lista Riscos,Classificação'!$O$22:$Q$26,3,FALSE),"")</f>
        <v/>
      </c>
      <c r="V28" s="130" t="str">
        <f t="shared" si="1"/>
        <v/>
      </c>
      <c r="W28" s="130" t="str">
        <f>IFERROR(VLOOKUP(V28,'04.Lista Riscos,Classificação'!$AS$4:$AV$28,2,FALSE),"")</f>
        <v/>
      </c>
      <c r="X28" s="101"/>
      <c r="Y28" s="195"/>
    </row>
    <row r="29" spans="2:25" ht="54" customHeight="1">
      <c r="B29" s="148" t="str">
        <f>IFERROR(VLOOKUP(D29,'03.Inventário de Ativos'!$D$4:$E$866,2,FALSE),"")</f>
        <v/>
      </c>
      <c r="C29" s="148" t="str">
        <f>IFERROR(VLOOKUP(D29,'03.Inventário de Ativos'!$D$4:$J$99,7,FALSE),"")</f>
        <v/>
      </c>
      <c r="D29" s="98"/>
      <c r="E29" s="128" t="str">
        <f>IFERROR(VLOOKUP(F29,Tabela2[[Descrição]:[ID. Risco]],2,FALSE),"")</f>
        <v/>
      </c>
      <c r="F29" s="97"/>
      <c r="G29" s="107"/>
      <c r="H29" s="99"/>
      <c r="I29" s="188"/>
      <c r="J29" s="100"/>
      <c r="K29" s="129" t="str">
        <f>IFERROR(VLOOKUP(J29,'04.Lista Riscos,Classificação'!$O$6:$Q$10,3,FALSE),"")</f>
        <v/>
      </c>
      <c r="L29" s="100"/>
      <c r="M29" s="129" t="str">
        <f>IFERROR(VLOOKUP(L29,'04.Lista Riscos,Classificação'!$O$13:$Q$18,3,FALSE),"")</f>
        <v/>
      </c>
      <c r="N29" s="130" t="str">
        <f t="shared" si="0"/>
        <v/>
      </c>
      <c r="O29" s="130"/>
      <c r="P29" s="132" t="str">
        <f>IFERROR(VLOOKUP(O29,'04.Lista Riscos,Classificação'!$AT$4:$AV$28,3,FALSE),"")</f>
        <v/>
      </c>
      <c r="Q29" s="101"/>
      <c r="R29" s="131" t="str">
        <f>IFERROR(VLOOKUP(O29,'04.Lista Riscos,Classificação'!$AZ$4:$BA$7,2,FALSE),"")</f>
        <v/>
      </c>
      <c r="S29" s="106"/>
      <c r="T29" s="185"/>
      <c r="U29" s="165" t="str">
        <f>IFERROR(VLOOKUP(T29,'04.Lista Riscos,Classificação'!$O$22:$Q$26,3,FALSE),"")</f>
        <v/>
      </c>
      <c r="V29" s="130" t="str">
        <f t="shared" si="1"/>
        <v/>
      </c>
      <c r="W29" s="130" t="str">
        <f>IFERROR(VLOOKUP(V29,'04.Lista Riscos,Classificação'!$AS$4:$AV$28,2,FALSE),"")</f>
        <v/>
      </c>
      <c r="X29" s="101"/>
      <c r="Y29" s="195"/>
    </row>
    <row r="30" spans="2:25" ht="54" customHeight="1">
      <c r="B30" s="148" t="str">
        <f>IFERROR(VLOOKUP(D30,'03.Inventário de Ativos'!$D$4:$E$866,2,FALSE),"")</f>
        <v/>
      </c>
      <c r="C30" s="148" t="str">
        <f>IFERROR(VLOOKUP(D30,'03.Inventário de Ativos'!$D$4:$J$99,7,FALSE),"")</f>
        <v/>
      </c>
      <c r="D30" s="98"/>
      <c r="E30" s="128" t="str">
        <f>IFERROR(VLOOKUP(F30,Tabela2[[Descrição]:[ID. Risco]],2,FALSE),"")</f>
        <v/>
      </c>
      <c r="F30" s="97"/>
      <c r="G30" s="107"/>
      <c r="H30" s="99"/>
      <c r="I30" s="188"/>
      <c r="J30" s="100"/>
      <c r="K30" s="129" t="str">
        <f>IFERROR(VLOOKUP(J30,'04.Lista Riscos,Classificação'!$O$6:$Q$10,3,FALSE),"")</f>
        <v/>
      </c>
      <c r="L30" s="100"/>
      <c r="M30" s="129" t="str">
        <f>IFERROR(VLOOKUP(L30,'04.Lista Riscos,Classificação'!$O$13:$Q$18,3,FALSE),"")</f>
        <v/>
      </c>
      <c r="N30" s="130" t="str">
        <f t="shared" si="0"/>
        <v/>
      </c>
      <c r="O30" s="130"/>
      <c r="P30" s="132" t="str">
        <f>IFERROR(VLOOKUP(O30,'04.Lista Riscos,Classificação'!$AT$4:$AV$28,3,FALSE),"")</f>
        <v/>
      </c>
      <c r="Q30" s="101"/>
      <c r="R30" s="131" t="str">
        <f>IFERROR(VLOOKUP(O30,'04.Lista Riscos,Classificação'!$AZ$4:$BA$7,2,FALSE),"")</f>
        <v/>
      </c>
      <c r="S30" s="106"/>
      <c r="T30" s="185"/>
      <c r="U30" s="165" t="str">
        <f>IFERROR(VLOOKUP(T30,'04.Lista Riscos,Classificação'!$O$22:$Q$26,3,FALSE),"")</f>
        <v/>
      </c>
      <c r="V30" s="130" t="str">
        <f t="shared" si="1"/>
        <v/>
      </c>
      <c r="W30" s="130" t="str">
        <f>IFERROR(VLOOKUP(V30,'04.Lista Riscos,Classificação'!$AS$4:$AV$28,2,FALSE),"")</f>
        <v/>
      </c>
      <c r="X30" s="101"/>
      <c r="Y30" s="195"/>
    </row>
    <row r="31" spans="2:25" ht="54" customHeight="1">
      <c r="B31" s="148" t="str">
        <f>IFERROR(VLOOKUP(D31,'03.Inventário de Ativos'!$D$4:$E$866,2,FALSE),"")</f>
        <v/>
      </c>
      <c r="C31" s="148" t="str">
        <f>IFERROR(VLOOKUP(D31,'03.Inventário de Ativos'!$D$4:$J$99,7,FALSE),"")</f>
        <v/>
      </c>
      <c r="D31" s="98"/>
      <c r="E31" s="128" t="str">
        <f>IFERROR(VLOOKUP(F31,Tabela2[[Descrição]:[ID. Risco]],2,FALSE),"")</f>
        <v/>
      </c>
      <c r="F31" s="97"/>
      <c r="G31" s="107"/>
      <c r="H31" s="99"/>
      <c r="I31" s="188"/>
      <c r="J31" s="100"/>
      <c r="K31" s="129" t="str">
        <f>IFERROR(VLOOKUP(J31,'04.Lista Riscos,Classificação'!$O$6:$Q$10,3,FALSE),"")</f>
        <v/>
      </c>
      <c r="L31" s="100"/>
      <c r="M31" s="129" t="str">
        <f>IFERROR(VLOOKUP(L31,'04.Lista Riscos,Classificação'!$O$13:$Q$18,3,FALSE),"")</f>
        <v/>
      </c>
      <c r="N31" s="130" t="str">
        <f t="shared" si="0"/>
        <v/>
      </c>
      <c r="O31" s="130"/>
      <c r="P31" s="132" t="str">
        <f>IFERROR(VLOOKUP(O31,'04.Lista Riscos,Classificação'!$AT$4:$AV$28,3,FALSE),"")</f>
        <v/>
      </c>
      <c r="Q31" s="101"/>
      <c r="R31" s="131" t="str">
        <f>IFERROR(VLOOKUP(O31,'04.Lista Riscos,Classificação'!$AZ$4:$BA$7,2,FALSE),"")</f>
        <v/>
      </c>
      <c r="S31" s="106"/>
      <c r="T31" s="185"/>
      <c r="U31" s="165" t="str">
        <f>IFERROR(VLOOKUP(T31,'04.Lista Riscos,Classificação'!$O$22:$Q$26,3,FALSE),"")</f>
        <v/>
      </c>
      <c r="V31" s="130" t="str">
        <f t="shared" si="1"/>
        <v/>
      </c>
      <c r="W31" s="130" t="str">
        <f>IFERROR(VLOOKUP(V31,'04.Lista Riscos,Classificação'!$AS$4:$AV$28,2,FALSE),"")</f>
        <v/>
      </c>
      <c r="X31" s="101"/>
      <c r="Y31" s="195"/>
    </row>
    <row r="32" spans="2:25" ht="54" customHeight="1">
      <c r="B32" s="148" t="str">
        <f>IFERROR(VLOOKUP(D32,'03.Inventário de Ativos'!$D$4:$E$866,2,FALSE),"")</f>
        <v/>
      </c>
      <c r="C32" s="148" t="str">
        <f>IFERROR(VLOOKUP(D32,'03.Inventário de Ativos'!$D$4:$J$99,7,FALSE),"")</f>
        <v/>
      </c>
      <c r="D32" s="98"/>
      <c r="E32" s="128" t="str">
        <f>IFERROR(VLOOKUP(F32,Tabela2[[Descrição]:[ID. Risco]],2,FALSE),"")</f>
        <v/>
      </c>
      <c r="F32" s="97"/>
      <c r="G32" s="107"/>
      <c r="H32" s="99"/>
      <c r="I32" s="188"/>
      <c r="J32" s="100"/>
      <c r="K32" s="129" t="str">
        <f>IFERROR(VLOOKUP(J32,'04.Lista Riscos,Classificação'!$O$6:$Q$10,3,FALSE),"")</f>
        <v/>
      </c>
      <c r="L32" s="100"/>
      <c r="M32" s="129" t="str">
        <f>IFERROR(VLOOKUP(L32,'04.Lista Riscos,Classificação'!$O$13:$Q$18,3,FALSE),"")</f>
        <v/>
      </c>
      <c r="N32" s="130" t="str">
        <f t="shared" si="0"/>
        <v/>
      </c>
      <c r="O32" s="130"/>
      <c r="P32" s="132" t="str">
        <f>IFERROR(VLOOKUP(O32,'04.Lista Riscos,Classificação'!$AT$4:$AV$28,3,FALSE),"")</f>
        <v/>
      </c>
      <c r="Q32" s="101"/>
      <c r="R32" s="131" t="str">
        <f>IFERROR(VLOOKUP(O32,'04.Lista Riscos,Classificação'!$AZ$4:$BA$7,2,FALSE),"")</f>
        <v/>
      </c>
      <c r="S32" s="106"/>
      <c r="T32" s="185"/>
      <c r="U32" s="165" t="str">
        <f>IFERROR(VLOOKUP(T32,'04.Lista Riscos,Classificação'!$O$22:$Q$26,3,FALSE),"")</f>
        <v/>
      </c>
      <c r="V32" s="130" t="str">
        <f t="shared" si="1"/>
        <v/>
      </c>
      <c r="W32" s="130" t="str">
        <f>IFERROR(VLOOKUP(V32,'04.Lista Riscos,Classificação'!$AS$4:$AV$28,2,FALSE),"")</f>
        <v/>
      </c>
      <c r="X32" s="101"/>
      <c r="Y32" s="195"/>
    </row>
    <row r="33" spans="2:25" ht="54" customHeight="1">
      <c r="B33" s="148" t="str">
        <f>IFERROR(VLOOKUP(D33,'03.Inventário de Ativos'!$D$4:$E$866,2,FALSE),"")</f>
        <v/>
      </c>
      <c r="C33" s="148" t="str">
        <f>IFERROR(VLOOKUP(D33,'03.Inventário de Ativos'!$D$4:$J$99,7,FALSE),"")</f>
        <v/>
      </c>
      <c r="D33" s="98"/>
      <c r="E33" s="128" t="str">
        <f>IFERROR(VLOOKUP(F33,Tabela2[[Descrição]:[ID. Risco]],2,FALSE),"")</f>
        <v/>
      </c>
      <c r="F33" s="97"/>
      <c r="G33" s="107"/>
      <c r="H33" s="99"/>
      <c r="I33" s="188"/>
      <c r="J33" s="100"/>
      <c r="K33" s="129" t="str">
        <f>IFERROR(VLOOKUP(J33,'04.Lista Riscos,Classificação'!$O$6:$Q$10,3,FALSE),"")</f>
        <v/>
      </c>
      <c r="L33" s="100"/>
      <c r="M33" s="129" t="str">
        <f>IFERROR(VLOOKUP(L33,'04.Lista Riscos,Classificação'!$O$13:$Q$18,3,FALSE),"")</f>
        <v/>
      </c>
      <c r="N33" s="130" t="str">
        <f t="shared" si="0"/>
        <v/>
      </c>
      <c r="O33" s="130"/>
      <c r="P33" s="132" t="str">
        <f>IFERROR(VLOOKUP(O33,'04.Lista Riscos,Classificação'!$AT$4:$AV$28,3,FALSE),"")</f>
        <v/>
      </c>
      <c r="Q33" s="101"/>
      <c r="R33" s="131" t="str">
        <f>IFERROR(VLOOKUP(O33,'04.Lista Riscos,Classificação'!$AZ$4:$BA$7,2,FALSE),"")</f>
        <v/>
      </c>
      <c r="S33" s="106"/>
      <c r="T33" s="185"/>
      <c r="U33" s="165" t="str">
        <f>IFERROR(VLOOKUP(T33,'04.Lista Riscos,Classificação'!$O$22:$Q$26,3,FALSE),"")</f>
        <v/>
      </c>
      <c r="V33" s="130" t="str">
        <f t="shared" si="1"/>
        <v/>
      </c>
      <c r="W33" s="130" t="str">
        <f>IFERROR(VLOOKUP(V33,'04.Lista Riscos,Classificação'!$AS$4:$AV$28,2,FALSE),"")</f>
        <v/>
      </c>
      <c r="X33" s="101"/>
      <c r="Y33" s="195"/>
    </row>
    <row r="34" spans="2:25" ht="54" customHeight="1">
      <c r="B34" s="148" t="str">
        <f>IFERROR(VLOOKUP(D34,'03.Inventário de Ativos'!$D$4:$E$866,2,FALSE),"")</f>
        <v/>
      </c>
      <c r="C34" s="148" t="str">
        <f>IFERROR(VLOOKUP(D34,'03.Inventário de Ativos'!$D$4:$J$99,7,FALSE),"")</f>
        <v/>
      </c>
      <c r="D34" s="98"/>
      <c r="E34" s="128" t="str">
        <f>IFERROR(VLOOKUP(F34,Tabela2[[Descrição]:[ID. Risco]],2,FALSE),"")</f>
        <v/>
      </c>
      <c r="F34" s="97"/>
      <c r="G34" s="107"/>
      <c r="H34" s="99"/>
      <c r="I34" s="188"/>
      <c r="J34" s="100"/>
      <c r="K34" s="129" t="str">
        <f>IFERROR(VLOOKUP(J34,'04.Lista Riscos,Classificação'!$O$6:$Q$10,3,FALSE),"")</f>
        <v/>
      </c>
      <c r="L34" s="100"/>
      <c r="M34" s="129" t="str">
        <f>IFERROR(VLOOKUP(L34,'04.Lista Riscos,Classificação'!$O$13:$Q$18,3,FALSE),"")</f>
        <v/>
      </c>
      <c r="N34" s="130" t="str">
        <f t="shared" si="0"/>
        <v/>
      </c>
      <c r="O34" s="130"/>
      <c r="P34" s="132" t="str">
        <f>IFERROR(VLOOKUP(O34,'04.Lista Riscos,Classificação'!$AT$4:$AV$28,3,FALSE),"")</f>
        <v/>
      </c>
      <c r="Q34" s="101"/>
      <c r="R34" s="131" t="str">
        <f>IFERROR(VLOOKUP(O34,'04.Lista Riscos,Classificação'!$AZ$4:$BA$7,2,FALSE),"")</f>
        <v/>
      </c>
      <c r="S34" s="106"/>
      <c r="T34" s="185"/>
      <c r="U34" s="165" t="str">
        <f>IFERROR(VLOOKUP(T34,'04.Lista Riscos,Classificação'!$O$22:$Q$26,3,FALSE),"")</f>
        <v/>
      </c>
      <c r="V34" s="130" t="str">
        <f t="shared" si="1"/>
        <v/>
      </c>
      <c r="W34" s="130" t="str">
        <f>IFERROR(VLOOKUP(V34,'04.Lista Riscos,Classificação'!$AS$4:$AV$28,2,FALSE),"")</f>
        <v/>
      </c>
      <c r="X34" s="101"/>
      <c r="Y34" s="195"/>
    </row>
    <row r="35" spans="2:25" ht="54" customHeight="1">
      <c r="B35" s="148" t="str">
        <f>IFERROR(VLOOKUP(D35,'03.Inventário de Ativos'!$D$4:$E$866,2,FALSE),"")</f>
        <v/>
      </c>
      <c r="C35" s="148" t="str">
        <f>IFERROR(VLOOKUP(D35,'03.Inventário de Ativos'!$D$4:$J$99,7,FALSE),"")</f>
        <v/>
      </c>
      <c r="D35" s="98"/>
      <c r="E35" s="128" t="str">
        <f>IFERROR(VLOOKUP(F35,Tabela2[[Descrição]:[ID. Risco]],2,FALSE),"")</f>
        <v/>
      </c>
      <c r="F35" s="97"/>
      <c r="G35" s="107"/>
      <c r="H35" s="99"/>
      <c r="I35" s="188"/>
      <c r="J35" s="100"/>
      <c r="K35" s="129" t="str">
        <f>IFERROR(VLOOKUP(J35,'04.Lista Riscos,Classificação'!$O$6:$Q$10,3,FALSE),"")</f>
        <v/>
      </c>
      <c r="L35" s="100"/>
      <c r="M35" s="129" t="str">
        <f>IFERROR(VLOOKUP(L35,'04.Lista Riscos,Classificação'!$O$13:$Q$18,3,FALSE),"")</f>
        <v/>
      </c>
      <c r="N35" s="130" t="str">
        <f t="shared" si="0"/>
        <v/>
      </c>
      <c r="O35" s="130"/>
      <c r="P35" s="132" t="str">
        <f>IFERROR(VLOOKUP(O35,'04.Lista Riscos,Classificação'!$AT$4:$AV$28,3,FALSE),"")</f>
        <v/>
      </c>
      <c r="Q35" s="101"/>
      <c r="R35" s="131" t="str">
        <f>IFERROR(VLOOKUP(O35,'04.Lista Riscos,Classificação'!$AZ$4:$BA$7,2,FALSE),"")</f>
        <v/>
      </c>
      <c r="S35" s="106"/>
      <c r="T35" s="185"/>
      <c r="U35" s="165" t="str">
        <f>IFERROR(VLOOKUP(T35,'04.Lista Riscos,Classificação'!$O$22:$Q$26,3,FALSE),"")</f>
        <v/>
      </c>
      <c r="V35" s="130" t="str">
        <f t="shared" si="1"/>
        <v/>
      </c>
      <c r="W35" s="130" t="str">
        <f>IFERROR(VLOOKUP(V35,'04.Lista Riscos,Classificação'!$AS$4:$AV$28,2,FALSE),"")</f>
        <v/>
      </c>
      <c r="X35" s="101"/>
      <c r="Y35" s="195"/>
    </row>
    <row r="36" spans="2:25" ht="54" customHeight="1">
      <c r="B36" s="148" t="str">
        <f>IFERROR(VLOOKUP(D36,'03.Inventário de Ativos'!$D$4:$E$866,2,FALSE),"")</f>
        <v/>
      </c>
      <c r="C36" s="148" t="str">
        <f>IFERROR(VLOOKUP(D36,'03.Inventário de Ativos'!$D$4:$J$99,7,FALSE),"")</f>
        <v/>
      </c>
      <c r="D36" s="98"/>
      <c r="E36" s="128" t="str">
        <f>IFERROR(VLOOKUP(F36,Tabela2[[Descrição]:[ID. Risco]],2,FALSE),"")</f>
        <v/>
      </c>
      <c r="F36" s="97"/>
      <c r="G36" s="107"/>
      <c r="H36" s="99"/>
      <c r="I36" s="188"/>
      <c r="J36" s="100"/>
      <c r="K36" s="129" t="str">
        <f>IFERROR(VLOOKUP(J36,'04.Lista Riscos,Classificação'!$O$6:$Q$10,3,FALSE),"")</f>
        <v/>
      </c>
      <c r="L36" s="100"/>
      <c r="M36" s="129" t="str">
        <f>IFERROR(VLOOKUP(L36,'04.Lista Riscos,Classificação'!$O$13:$Q$18,3,FALSE),"")</f>
        <v/>
      </c>
      <c r="N36" s="130" t="str">
        <f t="shared" si="0"/>
        <v/>
      </c>
      <c r="O36" s="130"/>
      <c r="P36" s="132" t="str">
        <f>IFERROR(VLOOKUP(O36,'04.Lista Riscos,Classificação'!$AT$4:$AV$28,3,FALSE),"")</f>
        <v/>
      </c>
      <c r="Q36" s="101"/>
      <c r="R36" s="131" t="str">
        <f>IFERROR(VLOOKUP(O36,'04.Lista Riscos,Classificação'!$AZ$4:$BA$7,2,FALSE),"")</f>
        <v/>
      </c>
      <c r="S36" s="106"/>
      <c r="T36" s="185"/>
      <c r="U36" s="165" t="str">
        <f>IFERROR(VLOOKUP(T36,'04.Lista Riscos,Classificação'!$O$22:$Q$26,3,FALSE),"")</f>
        <v/>
      </c>
      <c r="V36" s="130" t="str">
        <f t="shared" si="1"/>
        <v/>
      </c>
      <c r="W36" s="130" t="str">
        <f>IFERROR(VLOOKUP(V36,'04.Lista Riscos,Classificação'!$AS$4:$AV$28,2,FALSE),"")</f>
        <v/>
      </c>
      <c r="X36" s="101"/>
      <c r="Y36" s="195"/>
    </row>
    <row r="37" spans="2:25" ht="54" customHeight="1">
      <c r="B37" s="148" t="str">
        <f>IFERROR(VLOOKUP(D37,'03.Inventário de Ativos'!$D$4:$E$866,2,FALSE),"")</f>
        <v/>
      </c>
      <c r="C37" s="148" t="str">
        <f>IFERROR(VLOOKUP(D37,'03.Inventário de Ativos'!$D$4:$J$99,7,FALSE),"")</f>
        <v/>
      </c>
      <c r="D37" s="98"/>
      <c r="E37" s="128" t="str">
        <f>IFERROR(VLOOKUP(F37,Tabela2[[Descrição]:[ID. Risco]],2,FALSE),"")</f>
        <v/>
      </c>
      <c r="F37" s="97"/>
      <c r="G37" s="107"/>
      <c r="H37" s="99"/>
      <c r="I37" s="188"/>
      <c r="J37" s="100"/>
      <c r="K37" s="129" t="str">
        <f>IFERROR(VLOOKUP(J37,'04.Lista Riscos,Classificação'!$O$6:$Q$10,3,FALSE),"")</f>
        <v/>
      </c>
      <c r="L37" s="100"/>
      <c r="M37" s="129" t="str">
        <f>IFERROR(VLOOKUP(L37,'04.Lista Riscos,Classificação'!$O$13:$Q$18,3,FALSE),"")</f>
        <v/>
      </c>
      <c r="N37" s="130" t="str">
        <f t="shared" ref="N37:N68" si="2">IFERROR(K37*M37,"")</f>
        <v/>
      </c>
      <c r="O37" s="130"/>
      <c r="P37" s="132" t="str">
        <f>IFERROR(VLOOKUP(O37,'04.Lista Riscos,Classificação'!$AT$4:$AV$28,3,FALSE),"")</f>
        <v/>
      </c>
      <c r="Q37" s="101"/>
      <c r="R37" s="131" t="str">
        <f>IFERROR(VLOOKUP(O37,'04.Lista Riscos,Classificação'!$AZ$4:$BA$7,2,FALSE),"")</f>
        <v/>
      </c>
      <c r="S37" s="106"/>
      <c r="T37" s="185"/>
      <c r="U37" s="165" t="str">
        <f>IFERROR(VLOOKUP(T37,'04.Lista Riscos,Classificação'!$O$22:$Q$26,3,FALSE),"")</f>
        <v/>
      </c>
      <c r="V37" s="130" t="str">
        <f t="shared" ref="V37:V68" si="3">IFERROR(ROUND((N37*(100%-U37)),0),"")</f>
        <v/>
      </c>
      <c r="W37" s="130" t="str">
        <f>IFERROR(VLOOKUP(V37,'04.Lista Riscos,Classificação'!$AS$4:$AV$28,2,FALSE),"")</f>
        <v/>
      </c>
      <c r="X37" s="101"/>
      <c r="Y37" s="195"/>
    </row>
    <row r="38" spans="2:25" ht="54" customHeight="1">
      <c r="B38" s="148" t="str">
        <f>IFERROR(VLOOKUP(D38,'03.Inventário de Ativos'!$D$4:$E$866,2,FALSE),"")</f>
        <v/>
      </c>
      <c r="C38" s="148" t="str">
        <f>IFERROR(VLOOKUP(D38,'03.Inventário de Ativos'!$D$4:$J$99,7,FALSE),"")</f>
        <v/>
      </c>
      <c r="D38" s="98"/>
      <c r="E38" s="128" t="str">
        <f>IFERROR(VLOOKUP(F38,Tabela2[[Descrição]:[ID. Risco]],2,FALSE),"")</f>
        <v/>
      </c>
      <c r="F38" s="97"/>
      <c r="G38" s="107"/>
      <c r="H38" s="99"/>
      <c r="I38" s="188"/>
      <c r="J38" s="100"/>
      <c r="K38" s="129" t="str">
        <f>IFERROR(VLOOKUP(J38,'04.Lista Riscos,Classificação'!$O$6:$Q$10,3,FALSE),"")</f>
        <v/>
      </c>
      <c r="L38" s="100"/>
      <c r="M38" s="129" t="str">
        <f>IFERROR(VLOOKUP(L38,'04.Lista Riscos,Classificação'!$O$13:$Q$18,3,FALSE),"")</f>
        <v/>
      </c>
      <c r="N38" s="130" t="str">
        <f t="shared" si="2"/>
        <v/>
      </c>
      <c r="O38" s="130"/>
      <c r="P38" s="132" t="str">
        <f>IFERROR(VLOOKUP(O38,'04.Lista Riscos,Classificação'!$AT$4:$AV$28,3,FALSE),"")</f>
        <v/>
      </c>
      <c r="Q38" s="101"/>
      <c r="R38" s="131" t="str">
        <f>IFERROR(VLOOKUP(O38,'04.Lista Riscos,Classificação'!$AZ$4:$BA$7,2,FALSE),"")</f>
        <v/>
      </c>
      <c r="S38" s="106"/>
      <c r="T38" s="185"/>
      <c r="U38" s="165" t="str">
        <f>IFERROR(VLOOKUP(T38,'04.Lista Riscos,Classificação'!$O$22:$Q$26,3,FALSE),"")</f>
        <v/>
      </c>
      <c r="V38" s="130" t="str">
        <f t="shared" si="3"/>
        <v/>
      </c>
      <c r="W38" s="130" t="str">
        <f>IFERROR(VLOOKUP(V38,'04.Lista Riscos,Classificação'!$AS$4:$AV$28,2,FALSE),"")</f>
        <v/>
      </c>
      <c r="X38" s="101"/>
      <c r="Y38" s="195"/>
    </row>
    <row r="39" spans="2:25" ht="54" customHeight="1">
      <c r="B39" s="148" t="str">
        <f>IFERROR(VLOOKUP(D39,'03.Inventário de Ativos'!$D$4:$E$866,2,FALSE),"")</f>
        <v/>
      </c>
      <c r="C39" s="148" t="str">
        <f>IFERROR(VLOOKUP(D39,'03.Inventário de Ativos'!$D$4:$J$99,7,FALSE),"")</f>
        <v/>
      </c>
      <c r="D39" s="98"/>
      <c r="E39" s="128" t="str">
        <f>IFERROR(VLOOKUP(F39,Tabela2[[Descrição]:[ID. Risco]],2,FALSE),"")</f>
        <v/>
      </c>
      <c r="F39" s="97"/>
      <c r="G39" s="107"/>
      <c r="H39" s="99"/>
      <c r="I39" s="188"/>
      <c r="J39" s="100"/>
      <c r="K39" s="129" t="str">
        <f>IFERROR(VLOOKUP(J39,'04.Lista Riscos,Classificação'!$O$6:$Q$10,3,FALSE),"")</f>
        <v/>
      </c>
      <c r="L39" s="100"/>
      <c r="M39" s="129" t="str">
        <f>IFERROR(VLOOKUP(L39,'04.Lista Riscos,Classificação'!$O$13:$Q$18,3,FALSE),"")</f>
        <v/>
      </c>
      <c r="N39" s="130" t="str">
        <f t="shared" si="2"/>
        <v/>
      </c>
      <c r="O39" s="130"/>
      <c r="P39" s="132" t="str">
        <f>IFERROR(VLOOKUP(O39,'04.Lista Riscos,Classificação'!$AT$4:$AV$28,3,FALSE),"")</f>
        <v/>
      </c>
      <c r="Q39" s="101"/>
      <c r="R39" s="131" t="str">
        <f>IFERROR(VLOOKUP(O39,'04.Lista Riscos,Classificação'!$AZ$4:$BA$7,2,FALSE),"")</f>
        <v/>
      </c>
      <c r="S39" s="106"/>
      <c r="T39" s="185"/>
      <c r="U39" s="165" t="str">
        <f>IFERROR(VLOOKUP(T39,'04.Lista Riscos,Classificação'!$O$22:$Q$26,3,FALSE),"")</f>
        <v/>
      </c>
      <c r="V39" s="130" t="str">
        <f t="shared" si="3"/>
        <v/>
      </c>
      <c r="W39" s="130" t="str">
        <f>IFERROR(VLOOKUP(V39,'04.Lista Riscos,Classificação'!$AS$4:$AV$28,2,FALSE),"")</f>
        <v/>
      </c>
      <c r="X39" s="101"/>
      <c r="Y39" s="195"/>
    </row>
    <row r="40" spans="2:25" ht="54" customHeight="1">
      <c r="B40" s="148" t="str">
        <f>IFERROR(VLOOKUP(D40,'03.Inventário de Ativos'!$D$4:$E$866,2,FALSE),"")</f>
        <v/>
      </c>
      <c r="C40" s="148" t="str">
        <f>IFERROR(VLOOKUP(D40,'03.Inventário de Ativos'!$D$4:$J$99,7,FALSE),"")</f>
        <v/>
      </c>
      <c r="D40" s="98"/>
      <c r="E40" s="128" t="str">
        <f>IFERROR(VLOOKUP(F40,Tabela2[[Descrição]:[ID. Risco]],2,FALSE),"")</f>
        <v/>
      </c>
      <c r="F40" s="97"/>
      <c r="G40" s="107"/>
      <c r="H40" s="99"/>
      <c r="I40" s="188"/>
      <c r="J40" s="100"/>
      <c r="K40" s="129" t="str">
        <f>IFERROR(VLOOKUP(J40,'04.Lista Riscos,Classificação'!$O$6:$Q$10,3,FALSE),"")</f>
        <v/>
      </c>
      <c r="L40" s="100"/>
      <c r="M40" s="129" t="str">
        <f>IFERROR(VLOOKUP(L40,'04.Lista Riscos,Classificação'!$O$13:$Q$18,3,FALSE),"")</f>
        <v/>
      </c>
      <c r="N40" s="130" t="str">
        <f t="shared" si="2"/>
        <v/>
      </c>
      <c r="O40" s="130"/>
      <c r="P40" s="132" t="str">
        <f>IFERROR(VLOOKUP(O40,'04.Lista Riscos,Classificação'!$AT$4:$AV$28,3,FALSE),"")</f>
        <v/>
      </c>
      <c r="Q40" s="101"/>
      <c r="R40" s="131" t="str">
        <f>IFERROR(VLOOKUP(O40,'04.Lista Riscos,Classificação'!$AZ$4:$BA$7,2,FALSE),"")</f>
        <v/>
      </c>
      <c r="S40" s="106"/>
      <c r="T40" s="185"/>
      <c r="U40" s="165" t="str">
        <f>IFERROR(VLOOKUP(T40,'04.Lista Riscos,Classificação'!$O$22:$Q$26,3,FALSE),"")</f>
        <v/>
      </c>
      <c r="V40" s="130" t="str">
        <f t="shared" si="3"/>
        <v/>
      </c>
      <c r="W40" s="130" t="str">
        <f>IFERROR(VLOOKUP(V40,'04.Lista Riscos,Classificação'!$AS$4:$AV$28,2,FALSE),"")</f>
        <v/>
      </c>
      <c r="X40" s="101"/>
      <c r="Y40" s="195"/>
    </row>
    <row r="41" spans="2:25" ht="54" customHeight="1">
      <c r="B41" s="148" t="str">
        <f>IFERROR(VLOOKUP(D41,'03.Inventário de Ativos'!$D$4:$E$866,2,FALSE),"")</f>
        <v/>
      </c>
      <c r="C41" s="148" t="str">
        <f>IFERROR(VLOOKUP(D41,'03.Inventário de Ativos'!$D$4:$J$99,7,FALSE),"")</f>
        <v/>
      </c>
      <c r="D41" s="98"/>
      <c r="E41" s="128" t="str">
        <f>IFERROR(VLOOKUP(F41,Tabela2[[Descrição]:[ID. Risco]],2,FALSE),"")</f>
        <v/>
      </c>
      <c r="F41" s="97"/>
      <c r="G41" s="107"/>
      <c r="H41" s="99"/>
      <c r="I41" s="188"/>
      <c r="J41" s="100"/>
      <c r="K41" s="129" t="str">
        <f>IFERROR(VLOOKUP(J41,'04.Lista Riscos,Classificação'!$O$6:$Q$10,3,FALSE),"")</f>
        <v/>
      </c>
      <c r="L41" s="100"/>
      <c r="M41" s="129" t="str">
        <f>IFERROR(VLOOKUP(L41,'04.Lista Riscos,Classificação'!$O$13:$Q$18,3,FALSE),"")</f>
        <v/>
      </c>
      <c r="N41" s="130" t="str">
        <f t="shared" si="2"/>
        <v/>
      </c>
      <c r="O41" s="130"/>
      <c r="P41" s="132" t="str">
        <f>IFERROR(VLOOKUP(O41,'04.Lista Riscos,Classificação'!$AT$4:$AV$28,3,FALSE),"")</f>
        <v/>
      </c>
      <c r="Q41" s="101"/>
      <c r="R41" s="131" t="str">
        <f>IFERROR(VLOOKUP(O41,'04.Lista Riscos,Classificação'!$AZ$4:$BA$7,2,FALSE),"")</f>
        <v/>
      </c>
      <c r="S41" s="106"/>
      <c r="T41" s="185"/>
      <c r="U41" s="165" t="str">
        <f>IFERROR(VLOOKUP(T41,'04.Lista Riscos,Classificação'!$O$22:$Q$26,3,FALSE),"")</f>
        <v/>
      </c>
      <c r="V41" s="130" t="str">
        <f t="shared" si="3"/>
        <v/>
      </c>
      <c r="W41" s="130" t="str">
        <f>IFERROR(VLOOKUP(V41,'04.Lista Riscos,Classificação'!$AS$4:$AV$28,2,FALSE),"")</f>
        <v/>
      </c>
      <c r="X41" s="101"/>
      <c r="Y41" s="195"/>
    </row>
    <row r="42" spans="2:25" ht="54" customHeight="1">
      <c r="B42" s="148" t="str">
        <f>IFERROR(VLOOKUP(D42,'03.Inventário de Ativos'!$D$4:$E$866,2,FALSE),"")</f>
        <v/>
      </c>
      <c r="C42" s="148" t="str">
        <f>IFERROR(VLOOKUP(D42,'03.Inventário de Ativos'!$D$4:$J$99,7,FALSE),"")</f>
        <v/>
      </c>
      <c r="D42" s="98"/>
      <c r="E42" s="128" t="str">
        <f>IFERROR(VLOOKUP(F42,Tabela2[[Descrição]:[ID. Risco]],2,FALSE),"")</f>
        <v/>
      </c>
      <c r="F42" s="97"/>
      <c r="G42" s="107"/>
      <c r="H42" s="99"/>
      <c r="I42" s="188"/>
      <c r="J42" s="100"/>
      <c r="K42" s="129" t="str">
        <f>IFERROR(VLOOKUP(J42,'04.Lista Riscos,Classificação'!$O$6:$Q$10,3,FALSE),"")</f>
        <v/>
      </c>
      <c r="L42" s="100"/>
      <c r="M42" s="129" t="str">
        <f>IFERROR(VLOOKUP(L42,'04.Lista Riscos,Classificação'!$O$13:$Q$18,3,FALSE),"")</f>
        <v/>
      </c>
      <c r="N42" s="130" t="str">
        <f t="shared" si="2"/>
        <v/>
      </c>
      <c r="O42" s="130"/>
      <c r="P42" s="132" t="str">
        <f>IFERROR(VLOOKUP(O42,'04.Lista Riscos,Classificação'!$AT$4:$AV$28,3,FALSE),"")</f>
        <v/>
      </c>
      <c r="Q42" s="101"/>
      <c r="R42" s="131" t="str">
        <f>IFERROR(VLOOKUP(O42,'04.Lista Riscos,Classificação'!$AZ$4:$BA$7,2,FALSE),"")</f>
        <v/>
      </c>
      <c r="S42" s="106"/>
      <c r="T42" s="185"/>
      <c r="U42" s="165" t="str">
        <f>IFERROR(VLOOKUP(T42,'04.Lista Riscos,Classificação'!$O$22:$Q$26,3,FALSE),"")</f>
        <v/>
      </c>
      <c r="V42" s="130" t="str">
        <f t="shared" si="3"/>
        <v/>
      </c>
      <c r="W42" s="130" t="str">
        <f>IFERROR(VLOOKUP(V42,'04.Lista Riscos,Classificação'!$AS$4:$AV$28,2,FALSE),"")</f>
        <v/>
      </c>
      <c r="X42" s="101"/>
      <c r="Y42" s="195"/>
    </row>
    <row r="43" spans="2:25" ht="54" customHeight="1">
      <c r="B43" s="148" t="str">
        <f>IFERROR(VLOOKUP(D43,'03.Inventário de Ativos'!$D$4:$E$866,2,FALSE),"")</f>
        <v/>
      </c>
      <c r="C43" s="148" t="str">
        <f>IFERROR(VLOOKUP(D43,'03.Inventário de Ativos'!$D$4:$J$99,7,FALSE),"")</f>
        <v/>
      </c>
      <c r="D43" s="98"/>
      <c r="E43" s="128" t="str">
        <f>IFERROR(VLOOKUP(F43,Tabela2[[Descrição]:[ID. Risco]],2,FALSE),"")</f>
        <v/>
      </c>
      <c r="F43" s="97"/>
      <c r="G43" s="107"/>
      <c r="H43" s="99"/>
      <c r="I43" s="188"/>
      <c r="J43" s="100"/>
      <c r="K43" s="129" t="str">
        <f>IFERROR(VLOOKUP(J43,'04.Lista Riscos,Classificação'!$O$6:$Q$10,3,FALSE),"")</f>
        <v/>
      </c>
      <c r="L43" s="100"/>
      <c r="M43" s="129" t="str">
        <f>IFERROR(VLOOKUP(L43,'04.Lista Riscos,Classificação'!$O$13:$Q$18,3,FALSE),"")</f>
        <v/>
      </c>
      <c r="N43" s="130" t="str">
        <f t="shared" si="2"/>
        <v/>
      </c>
      <c r="O43" s="130"/>
      <c r="P43" s="132" t="str">
        <f>IFERROR(VLOOKUP(O43,'04.Lista Riscos,Classificação'!$AT$4:$AV$28,3,FALSE),"")</f>
        <v/>
      </c>
      <c r="Q43" s="101"/>
      <c r="R43" s="131" t="str">
        <f>IFERROR(VLOOKUP(O43,'04.Lista Riscos,Classificação'!$AZ$4:$BA$7,2,FALSE),"")</f>
        <v/>
      </c>
      <c r="S43" s="106"/>
      <c r="T43" s="185"/>
      <c r="U43" s="165" t="str">
        <f>IFERROR(VLOOKUP(T43,'04.Lista Riscos,Classificação'!$O$22:$Q$26,3,FALSE),"")</f>
        <v/>
      </c>
      <c r="V43" s="130" t="str">
        <f t="shared" si="3"/>
        <v/>
      </c>
      <c r="W43" s="130" t="str">
        <f>IFERROR(VLOOKUP(V43,'04.Lista Riscos,Classificação'!$AS$4:$AV$28,2,FALSE),"")</f>
        <v/>
      </c>
      <c r="X43" s="101"/>
      <c r="Y43" s="195"/>
    </row>
    <row r="44" spans="2:25" ht="54" customHeight="1">
      <c r="B44" s="148" t="str">
        <f>IFERROR(VLOOKUP(D44,'03.Inventário de Ativos'!$D$4:$E$866,2,FALSE),"")</f>
        <v/>
      </c>
      <c r="C44" s="148" t="str">
        <f>IFERROR(VLOOKUP(D44,'03.Inventário de Ativos'!$D$4:$J$99,7,FALSE),"")</f>
        <v/>
      </c>
      <c r="D44" s="98"/>
      <c r="E44" s="128" t="str">
        <f>IFERROR(VLOOKUP(F44,Tabela2[[Descrição]:[ID. Risco]],2,FALSE),"")</f>
        <v/>
      </c>
      <c r="F44" s="97"/>
      <c r="G44" s="107"/>
      <c r="H44" s="99"/>
      <c r="I44" s="188"/>
      <c r="J44" s="100"/>
      <c r="K44" s="129" t="str">
        <f>IFERROR(VLOOKUP(J44,'04.Lista Riscos,Classificação'!$O$6:$Q$10,3,FALSE),"")</f>
        <v/>
      </c>
      <c r="L44" s="100"/>
      <c r="M44" s="129" t="str">
        <f>IFERROR(VLOOKUP(L44,'04.Lista Riscos,Classificação'!$O$13:$Q$18,3,FALSE),"")</f>
        <v/>
      </c>
      <c r="N44" s="130" t="str">
        <f t="shared" si="2"/>
        <v/>
      </c>
      <c r="O44" s="130"/>
      <c r="P44" s="132" t="str">
        <f>IFERROR(VLOOKUP(O44,'04.Lista Riscos,Classificação'!$AT$4:$AV$28,3,FALSE),"")</f>
        <v/>
      </c>
      <c r="Q44" s="101"/>
      <c r="R44" s="131" t="str">
        <f>IFERROR(VLOOKUP(O44,'04.Lista Riscos,Classificação'!$AZ$4:$BA$7,2,FALSE),"")</f>
        <v/>
      </c>
      <c r="S44" s="106"/>
      <c r="T44" s="185"/>
      <c r="U44" s="165" t="str">
        <f>IFERROR(VLOOKUP(T44,'04.Lista Riscos,Classificação'!$O$22:$Q$26,3,FALSE),"")</f>
        <v/>
      </c>
      <c r="V44" s="130" t="str">
        <f t="shared" si="3"/>
        <v/>
      </c>
      <c r="W44" s="130" t="str">
        <f>IFERROR(VLOOKUP(V44,'04.Lista Riscos,Classificação'!$AS$4:$AV$28,2,FALSE),"")</f>
        <v/>
      </c>
      <c r="X44" s="101"/>
      <c r="Y44" s="195"/>
    </row>
    <row r="45" spans="2:25" ht="54" customHeight="1">
      <c r="B45" s="148" t="str">
        <f>IFERROR(VLOOKUP(D45,'03.Inventário de Ativos'!$D$4:$E$866,2,FALSE),"")</f>
        <v/>
      </c>
      <c r="C45" s="148" t="str">
        <f>IFERROR(VLOOKUP(D45,'03.Inventário de Ativos'!$D$4:$J$99,7,FALSE),"")</f>
        <v/>
      </c>
      <c r="D45" s="98"/>
      <c r="E45" s="128" t="str">
        <f>IFERROR(VLOOKUP(F45,Tabela2[[Descrição]:[ID. Risco]],2,FALSE),"")</f>
        <v/>
      </c>
      <c r="F45" s="97"/>
      <c r="G45" s="107"/>
      <c r="H45" s="99"/>
      <c r="I45" s="188"/>
      <c r="J45" s="100"/>
      <c r="K45" s="129" t="str">
        <f>IFERROR(VLOOKUP(J45,'04.Lista Riscos,Classificação'!$O$6:$Q$10,3,FALSE),"")</f>
        <v/>
      </c>
      <c r="L45" s="100"/>
      <c r="M45" s="129" t="str">
        <f>IFERROR(VLOOKUP(L45,'04.Lista Riscos,Classificação'!$O$13:$Q$18,3,FALSE),"")</f>
        <v/>
      </c>
      <c r="N45" s="130" t="str">
        <f t="shared" si="2"/>
        <v/>
      </c>
      <c r="O45" s="130"/>
      <c r="P45" s="132" t="str">
        <f>IFERROR(VLOOKUP(O45,'04.Lista Riscos,Classificação'!$AT$4:$AV$28,3,FALSE),"")</f>
        <v/>
      </c>
      <c r="Q45" s="101"/>
      <c r="R45" s="131" t="str">
        <f>IFERROR(VLOOKUP(O45,'04.Lista Riscos,Classificação'!$AZ$4:$BA$7,2,FALSE),"")</f>
        <v/>
      </c>
      <c r="S45" s="106"/>
      <c r="T45" s="185"/>
      <c r="U45" s="165" t="str">
        <f>IFERROR(VLOOKUP(T45,'04.Lista Riscos,Classificação'!$O$22:$Q$26,3,FALSE),"")</f>
        <v/>
      </c>
      <c r="V45" s="130" t="str">
        <f t="shared" si="3"/>
        <v/>
      </c>
      <c r="W45" s="130" t="str">
        <f>IFERROR(VLOOKUP(V45,'04.Lista Riscos,Classificação'!$AS$4:$AV$28,2,FALSE),"")</f>
        <v/>
      </c>
      <c r="X45" s="101"/>
      <c r="Y45" s="195"/>
    </row>
    <row r="46" spans="2:25" ht="54" customHeight="1">
      <c r="B46" s="148" t="str">
        <f>IFERROR(VLOOKUP(D46,'03.Inventário de Ativos'!$D$4:$E$866,2,FALSE),"")</f>
        <v/>
      </c>
      <c r="C46" s="148" t="str">
        <f>IFERROR(VLOOKUP(D46,'03.Inventário de Ativos'!$D$4:$J$99,7,FALSE),"")</f>
        <v/>
      </c>
      <c r="D46" s="98"/>
      <c r="E46" s="128" t="str">
        <f>IFERROR(VLOOKUP(F46,Tabela2[[Descrição]:[ID. Risco]],2,FALSE),"")</f>
        <v/>
      </c>
      <c r="F46" s="97"/>
      <c r="G46" s="107"/>
      <c r="H46" s="99"/>
      <c r="I46" s="188"/>
      <c r="J46" s="100"/>
      <c r="K46" s="129" t="str">
        <f>IFERROR(VLOOKUP(J46,'04.Lista Riscos,Classificação'!$O$6:$Q$10,3,FALSE),"")</f>
        <v/>
      </c>
      <c r="L46" s="100"/>
      <c r="M46" s="129" t="str">
        <f>IFERROR(VLOOKUP(L46,'04.Lista Riscos,Classificação'!$O$13:$Q$18,3,FALSE),"")</f>
        <v/>
      </c>
      <c r="N46" s="130" t="str">
        <f t="shared" si="2"/>
        <v/>
      </c>
      <c r="O46" s="130"/>
      <c r="P46" s="132" t="str">
        <f>IFERROR(VLOOKUP(O46,'04.Lista Riscos,Classificação'!$AT$4:$AV$28,3,FALSE),"")</f>
        <v/>
      </c>
      <c r="Q46" s="101"/>
      <c r="R46" s="131" t="str">
        <f>IFERROR(VLOOKUP(O46,'04.Lista Riscos,Classificação'!$AZ$4:$BA$7,2,FALSE),"")</f>
        <v/>
      </c>
      <c r="S46" s="106"/>
      <c r="T46" s="185"/>
      <c r="U46" s="165" t="str">
        <f>IFERROR(VLOOKUP(T46,'04.Lista Riscos,Classificação'!$O$22:$Q$26,3,FALSE),"")</f>
        <v/>
      </c>
      <c r="V46" s="130" t="str">
        <f t="shared" si="3"/>
        <v/>
      </c>
      <c r="W46" s="130" t="str">
        <f>IFERROR(VLOOKUP(V46,'04.Lista Riscos,Classificação'!$AS$4:$AV$28,2,FALSE),"")</f>
        <v/>
      </c>
      <c r="X46" s="101"/>
      <c r="Y46" s="195"/>
    </row>
    <row r="47" spans="2:25" ht="54" customHeight="1">
      <c r="B47" s="148" t="str">
        <f>IFERROR(VLOOKUP(D47,'03.Inventário de Ativos'!$D$4:$E$866,2,FALSE),"")</f>
        <v/>
      </c>
      <c r="C47" s="148" t="str">
        <f>IFERROR(VLOOKUP(D47,'03.Inventário de Ativos'!$D$4:$J$99,7,FALSE),"")</f>
        <v/>
      </c>
      <c r="D47" s="98"/>
      <c r="E47" s="128" t="str">
        <f>IFERROR(VLOOKUP(F47,Tabela2[[Descrição]:[ID. Risco]],2,FALSE),"")</f>
        <v/>
      </c>
      <c r="F47" s="97"/>
      <c r="G47" s="107"/>
      <c r="H47" s="99"/>
      <c r="I47" s="188"/>
      <c r="J47" s="100"/>
      <c r="K47" s="129" t="str">
        <f>IFERROR(VLOOKUP(J47,'04.Lista Riscos,Classificação'!$O$6:$Q$10,3,FALSE),"")</f>
        <v/>
      </c>
      <c r="L47" s="100"/>
      <c r="M47" s="129" t="str">
        <f>IFERROR(VLOOKUP(L47,'04.Lista Riscos,Classificação'!$O$13:$Q$18,3,FALSE),"")</f>
        <v/>
      </c>
      <c r="N47" s="130" t="str">
        <f t="shared" si="2"/>
        <v/>
      </c>
      <c r="O47" s="130"/>
      <c r="P47" s="132" t="str">
        <f>IFERROR(VLOOKUP(O47,'04.Lista Riscos,Classificação'!$AT$4:$AV$28,3,FALSE),"")</f>
        <v/>
      </c>
      <c r="Q47" s="101"/>
      <c r="R47" s="131" t="str">
        <f>IFERROR(VLOOKUP(O47,'04.Lista Riscos,Classificação'!$AZ$4:$BA$7,2,FALSE),"")</f>
        <v/>
      </c>
      <c r="S47" s="106"/>
      <c r="T47" s="185"/>
      <c r="U47" s="165" t="str">
        <f>IFERROR(VLOOKUP(T47,'04.Lista Riscos,Classificação'!$O$22:$Q$26,3,FALSE),"")</f>
        <v/>
      </c>
      <c r="V47" s="130" t="str">
        <f t="shared" si="3"/>
        <v/>
      </c>
      <c r="W47" s="130" t="str">
        <f>IFERROR(VLOOKUP(V47,'04.Lista Riscos,Classificação'!$AS$4:$AV$28,2,FALSE),"")</f>
        <v/>
      </c>
      <c r="X47" s="101"/>
      <c r="Y47" s="195"/>
    </row>
    <row r="48" spans="2:25" ht="54" customHeight="1">
      <c r="B48" s="148" t="str">
        <f>IFERROR(VLOOKUP(D48,'03.Inventário de Ativos'!$D$4:$E$866,2,FALSE),"")</f>
        <v/>
      </c>
      <c r="C48" s="148" t="str">
        <f>IFERROR(VLOOKUP(D48,'03.Inventário de Ativos'!$D$4:$J$99,7,FALSE),"")</f>
        <v/>
      </c>
      <c r="D48" s="98"/>
      <c r="E48" s="128" t="str">
        <f>IFERROR(VLOOKUP(F48,Tabela2[[Descrição]:[ID. Risco]],2,FALSE),"")</f>
        <v/>
      </c>
      <c r="F48" s="97"/>
      <c r="G48" s="107"/>
      <c r="H48" s="99"/>
      <c r="I48" s="188"/>
      <c r="J48" s="100"/>
      <c r="K48" s="129" t="str">
        <f>IFERROR(VLOOKUP(J48,'04.Lista Riscos,Classificação'!$O$6:$Q$10,3,FALSE),"")</f>
        <v/>
      </c>
      <c r="L48" s="100"/>
      <c r="M48" s="129" t="str">
        <f>IFERROR(VLOOKUP(L48,'04.Lista Riscos,Classificação'!$O$13:$Q$18,3,FALSE),"")</f>
        <v/>
      </c>
      <c r="N48" s="130" t="str">
        <f t="shared" si="2"/>
        <v/>
      </c>
      <c r="O48" s="130"/>
      <c r="P48" s="132" t="str">
        <f>IFERROR(VLOOKUP(O48,'04.Lista Riscos,Classificação'!$AT$4:$AV$28,3,FALSE),"")</f>
        <v/>
      </c>
      <c r="Q48" s="101"/>
      <c r="R48" s="131" t="str">
        <f>IFERROR(VLOOKUP(O48,'04.Lista Riscos,Classificação'!$AZ$4:$BA$7,2,FALSE),"")</f>
        <v/>
      </c>
      <c r="S48" s="106"/>
      <c r="T48" s="185"/>
      <c r="U48" s="165" t="str">
        <f>IFERROR(VLOOKUP(T48,'04.Lista Riscos,Classificação'!$O$22:$Q$26,3,FALSE),"")</f>
        <v/>
      </c>
      <c r="V48" s="130" t="str">
        <f t="shared" si="3"/>
        <v/>
      </c>
      <c r="W48" s="130" t="str">
        <f>IFERROR(VLOOKUP(V48,'04.Lista Riscos,Classificação'!$AS$4:$AV$28,2,FALSE),"")</f>
        <v/>
      </c>
      <c r="X48" s="101"/>
      <c r="Y48" s="195"/>
    </row>
    <row r="49" spans="2:25" ht="54" customHeight="1">
      <c r="B49" s="148" t="str">
        <f>IFERROR(VLOOKUP(D49,'03.Inventário de Ativos'!$D$4:$E$866,2,FALSE),"")</f>
        <v/>
      </c>
      <c r="C49" s="148" t="str">
        <f>IFERROR(VLOOKUP(D49,'03.Inventário de Ativos'!$D$4:$J$99,7,FALSE),"")</f>
        <v/>
      </c>
      <c r="D49" s="98"/>
      <c r="E49" s="128" t="str">
        <f>IFERROR(VLOOKUP(F49,Tabela2[[Descrição]:[ID. Risco]],2,FALSE),"")</f>
        <v/>
      </c>
      <c r="F49" s="97"/>
      <c r="G49" s="107"/>
      <c r="H49" s="99"/>
      <c r="I49" s="188"/>
      <c r="J49" s="100"/>
      <c r="K49" s="129" t="str">
        <f>IFERROR(VLOOKUP(J49,'04.Lista Riscos,Classificação'!$O$6:$Q$10,3,FALSE),"")</f>
        <v/>
      </c>
      <c r="L49" s="100"/>
      <c r="M49" s="129" t="str">
        <f>IFERROR(VLOOKUP(L49,'04.Lista Riscos,Classificação'!$O$13:$Q$18,3,FALSE),"")</f>
        <v/>
      </c>
      <c r="N49" s="130" t="str">
        <f t="shared" si="2"/>
        <v/>
      </c>
      <c r="O49" s="130"/>
      <c r="P49" s="132" t="str">
        <f>IFERROR(VLOOKUP(O49,'04.Lista Riscos,Classificação'!$AT$4:$AV$28,3,FALSE),"")</f>
        <v/>
      </c>
      <c r="Q49" s="101"/>
      <c r="R49" s="131" t="str">
        <f>IFERROR(VLOOKUP(O49,'04.Lista Riscos,Classificação'!$AZ$4:$BA$7,2,FALSE),"")</f>
        <v/>
      </c>
      <c r="S49" s="106"/>
      <c r="T49" s="185"/>
      <c r="U49" s="165" t="str">
        <f>IFERROR(VLOOKUP(T49,'04.Lista Riscos,Classificação'!$O$22:$Q$26,3,FALSE),"")</f>
        <v/>
      </c>
      <c r="V49" s="130" t="str">
        <f t="shared" si="3"/>
        <v/>
      </c>
      <c r="W49" s="130" t="str">
        <f>IFERROR(VLOOKUP(V49,'04.Lista Riscos,Classificação'!$AS$4:$AV$28,2,FALSE),"")</f>
        <v/>
      </c>
      <c r="X49" s="101"/>
      <c r="Y49" s="195"/>
    </row>
    <row r="50" spans="2:25" ht="54" customHeight="1">
      <c r="B50" s="148" t="str">
        <f>IFERROR(VLOOKUP(D50,'03.Inventário de Ativos'!$D$4:$E$866,2,FALSE),"")</f>
        <v/>
      </c>
      <c r="C50" s="148" t="str">
        <f>IFERROR(VLOOKUP(D50,'03.Inventário de Ativos'!$D$4:$J$99,7,FALSE),"")</f>
        <v/>
      </c>
      <c r="D50" s="98"/>
      <c r="E50" s="128" t="str">
        <f>IFERROR(VLOOKUP(F50,Tabela2[[Descrição]:[ID. Risco]],2,FALSE),"")</f>
        <v/>
      </c>
      <c r="F50" s="97"/>
      <c r="G50" s="107"/>
      <c r="H50" s="99"/>
      <c r="I50" s="188"/>
      <c r="J50" s="100"/>
      <c r="K50" s="129" t="str">
        <f>IFERROR(VLOOKUP(J50,'04.Lista Riscos,Classificação'!$O$6:$Q$10,3,FALSE),"")</f>
        <v/>
      </c>
      <c r="L50" s="100"/>
      <c r="M50" s="129" t="str">
        <f>IFERROR(VLOOKUP(L50,'04.Lista Riscos,Classificação'!$O$13:$Q$18,3,FALSE),"")</f>
        <v/>
      </c>
      <c r="N50" s="130" t="str">
        <f t="shared" si="2"/>
        <v/>
      </c>
      <c r="O50" s="130"/>
      <c r="P50" s="132" t="str">
        <f>IFERROR(VLOOKUP(O50,'04.Lista Riscos,Classificação'!$AT$4:$AV$28,3,FALSE),"")</f>
        <v/>
      </c>
      <c r="Q50" s="101"/>
      <c r="R50" s="131" t="str">
        <f>IFERROR(VLOOKUP(O50,'04.Lista Riscos,Classificação'!$AZ$4:$BA$7,2,FALSE),"")</f>
        <v/>
      </c>
      <c r="S50" s="106"/>
      <c r="T50" s="185"/>
      <c r="U50" s="165" t="str">
        <f>IFERROR(VLOOKUP(T50,'04.Lista Riscos,Classificação'!$O$22:$Q$26,3,FALSE),"")</f>
        <v/>
      </c>
      <c r="V50" s="130" t="str">
        <f t="shared" si="3"/>
        <v/>
      </c>
      <c r="W50" s="130" t="str">
        <f>IFERROR(VLOOKUP(V50,'04.Lista Riscos,Classificação'!$AS$4:$AV$28,2,FALSE),"")</f>
        <v/>
      </c>
      <c r="X50" s="101"/>
      <c r="Y50" s="195"/>
    </row>
    <row r="51" spans="2:25" ht="54" customHeight="1">
      <c r="B51" s="148" t="str">
        <f>IFERROR(VLOOKUP(D51,'03.Inventário de Ativos'!$D$4:$E$866,2,FALSE),"")</f>
        <v/>
      </c>
      <c r="C51" s="148" t="str">
        <f>IFERROR(VLOOKUP(D51,'03.Inventário de Ativos'!$D$4:$J$99,7,FALSE),"")</f>
        <v/>
      </c>
      <c r="D51" s="98"/>
      <c r="E51" s="128" t="str">
        <f>IFERROR(VLOOKUP(F51,Tabela2[[Descrição]:[ID. Risco]],2,FALSE),"")</f>
        <v/>
      </c>
      <c r="F51" s="97"/>
      <c r="G51" s="107"/>
      <c r="H51" s="99"/>
      <c r="I51" s="188"/>
      <c r="J51" s="100"/>
      <c r="K51" s="129" t="str">
        <f>IFERROR(VLOOKUP(J51,'04.Lista Riscos,Classificação'!$O$6:$Q$10,3,FALSE),"")</f>
        <v/>
      </c>
      <c r="L51" s="100"/>
      <c r="M51" s="129" t="str">
        <f>IFERROR(VLOOKUP(L51,'04.Lista Riscos,Classificação'!$O$13:$Q$18,3,FALSE),"")</f>
        <v/>
      </c>
      <c r="N51" s="130" t="str">
        <f t="shared" si="2"/>
        <v/>
      </c>
      <c r="O51" s="130"/>
      <c r="P51" s="132" t="str">
        <f>IFERROR(VLOOKUP(O51,'04.Lista Riscos,Classificação'!$AT$4:$AV$28,3,FALSE),"")</f>
        <v/>
      </c>
      <c r="Q51" s="101"/>
      <c r="R51" s="131" t="str">
        <f>IFERROR(VLOOKUP(O51,'04.Lista Riscos,Classificação'!$AZ$4:$BA$7,2,FALSE),"")</f>
        <v/>
      </c>
      <c r="S51" s="106"/>
      <c r="T51" s="185"/>
      <c r="U51" s="165" t="str">
        <f>IFERROR(VLOOKUP(T51,'04.Lista Riscos,Classificação'!$O$22:$Q$26,3,FALSE),"")</f>
        <v/>
      </c>
      <c r="V51" s="130" t="str">
        <f t="shared" si="3"/>
        <v/>
      </c>
      <c r="W51" s="130" t="str">
        <f>IFERROR(VLOOKUP(V51,'04.Lista Riscos,Classificação'!$AS$4:$AV$28,2,FALSE),"")</f>
        <v/>
      </c>
      <c r="X51" s="101"/>
      <c r="Y51" s="195"/>
    </row>
    <row r="52" spans="2:25" ht="54" customHeight="1">
      <c r="B52" s="148" t="str">
        <f>IFERROR(VLOOKUP(D52,'03.Inventário de Ativos'!$D$4:$E$866,2,FALSE),"")</f>
        <v/>
      </c>
      <c r="C52" s="148" t="str">
        <f>IFERROR(VLOOKUP(D52,'03.Inventário de Ativos'!$D$4:$J$99,7,FALSE),"")</f>
        <v/>
      </c>
      <c r="D52" s="98"/>
      <c r="E52" s="128" t="str">
        <f>IFERROR(VLOOKUP(F52,Tabela2[[Descrição]:[ID. Risco]],2,FALSE),"")</f>
        <v/>
      </c>
      <c r="F52" s="97"/>
      <c r="G52" s="107"/>
      <c r="H52" s="99"/>
      <c r="I52" s="188"/>
      <c r="J52" s="100"/>
      <c r="K52" s="129" t="str">
        <f>IFERROR(VLOOKUP(J52,'04.Lista Riscos,Classificação'!$O$6:$Q$10,3,FALSE),"")</f>
        <v/>
      </c>
      <c r="L52" s="100"/>
      <c r="M52" s="129" t="str">
        <f>IFERROR(VLOOKUP(L52,'04.Lista Riscos,Classificação'!$O$13:$Q$18,3,FALSE),"")</f>
        <v/>
      </c>
      <c r="N52" s="130" t="str">
        <f t="shared" si="2"/>
        <v/>
      </c>
      <c r="O52" s="130"/>
      <c r="P52" s="132" t="str">
        <f>IFERROR(VLOOKUP(O52,'04.Lista Riscos,Classificação'!$AT$4:$AV$28,3,FALSE),"")</f>
        <v/>
      </c>
      <c r="Q52" s="101"/>
      <c r="R52" s="131" t="str">
        <f>IFERROR(VLOOKUP(O52,'04.Lista Riscos,Classificação'!$AZ$4:$BA$7,2,FALSE),"")</f>
        <v/>
      </c>
      <c r="S52" s="106"/>
      <c r="T52" s="185"/>
      <c r="U52" s="165" t="str">
        <f>IFERROR(VLOOKUP(T52,'04.Lista Riscos,Classificação'!$O$22:$Q$26,3,FALSE),"")</f>
        <v/>
      </c>
      <c r="V52" s="130" t="str">
        <f t="shared" si="3"/>
        <v/>
      </c>
      <c r="W52" s="130" t="str">
        <f>IFERROR(VLOOKUP(V52,'04.Lista Riscos,Classificação'!$AS$4:$AV$28,2,FALSE),"")</f>
        <v/>
      </c>
      <c r="X52" s="101"/>
      <c r="Y52" s="195"/>
    </row>
    <row r="53" spans="2:25" ht="54" customHeight="1">
      <c r="B53" s="148" t="str">
        <f>IFERROR(VLOOKUP(D53,'03.Inventário de Ativos'!$D$4:$E$866,2,FALSE),"")</f>
        <v/>
      </c>
      <c r="C53" s="148" t="str">
        <f>IFERROR(VLOOKUP(D53,'03.Inventário de Ativos'!$D$4:$J$99,7,FALSE),"")</f>
        <v/>
      </c>
      <c r="D53" s="98"/>
      <c r="E53" s="128" t="str">
        <f>IFERROR(VLOOKUP(F53,Tabela2[[Descrição]:[ID. Risco]],2,FALSE),"")</f>
        <v/>
      </c>
      <c r="F53" s="97"/>
      <c r="G53" s="107"/>
      <c r="H53" s="99"/>
      <c r="I53" s="188"/>
      <c r="J53" s="100"/>
      <c r="K53" s="129" t="str">
        <f>IFERROR(VLOOKUP(J53,'04.Lista Riscos,Classificação'!$O$6:$Q$10,3,FALSE),"")</f>
        <v/>
      </c>
      <c r="L53" s="100"/>
      <c r="M53" s="129" t="str">
        <f>IFERROR(VLOOKUP(L53,'04.Lista Riscos,Classificação'!$O$13:$Q$18,3,FALSE),"")</f>
        <v/>
      </c>
      <c r="N53" s="130" t="str">
        <f t="shared" si="2"/>
        <v/>
      </c>
      <c r="O53" s="130"/>
      <c r="P53" s="132" t="str">
        <f>IFERROR(VLOOKUP(O53,'04.Lista Riscos,Classificação'!$AT$4:$AV$28,3,FALSE),"")</f>
        <v/>
      </c>
      <c r="Q53" s="101"/>
      <c r="R53" s="131" t="str">
        <f>IFERROR(VLOOKUP(O53,'04.Lista Riscos,Classificação'!$AZ$4:$BA$7,2,FALSE),"")</f>
        <v/>
      </c>
      <c r="S53" s="106"/>
      <c r="T53" s="185"/>
      <c r="U53" s="165" t="str">
        <f>IFERROR(VLOOKUP(T53,'04.Lista Riscos,Classificação'!$O$22:$Q$26,3,FALSE),"")</f>
        <v/>
      </c>
      <c r="V53" s="130" t="str">
        <f t="shared" si="3"/>
        <v/>
      </c>
      <c r="W53" s="130" t="str">
        <f>IFERROR(VLOOKUP(V53,'04.Lista Riscos,Classificação'!$AS$4:$AV$28,2,FALSE),"")</f>
        <v/>
      </c>
      <c r="X53" s="101"/>
      <c r="Y53" s="195"/>
    </row>
    <row r="54" spans="2:25" ht="54" customHeight="1">
      <c r="B54" s="148" t="str">
        <f>IFERROR(VLOOKUP(D54,'03.Inventário de Ativos'!$D$4:$E$866,2,FALSE),"")</f>
        <v/>
      </c>
      <c r="C54" s="148" t="str">
        <f>IFERROR(VLOOKUP(D54,'03.Inventário de Ativos'!$D$4:$J$99,7,FALSE),"")</f>
        <v/>
      </c>
      <c r="D54" s="98"/>
      <c r="E54" s="128" t="str">
        <f>IFERROR(VLOOKUP(F54,Tabela2[[Descrição]:[ID. Risco]],2,FALSE),"")</f>
        <v/>
      </c>
      <c r="F54" s="97"/>
      <c r="G54" s="107"/>
      <c r="H54" s="99"/>
      <c r="I54" s="188"/>
      <c r="J54" s="100"/>
      <c r="K54" s="129" t="str">
        <f>IFERROR(VLOOKUP(J54,'04.Lista Riscos,Classificação'!$O$6:$Q$10,3,FALSE),"")</f>
        <v/>
      </c>
      <c r="L54" s="100"/>
      <c r="M54" s="129" t="str">
        <f>IFERROR(VLOOKUP(L54,'04.Lista Riscos,Classificação'!$O$13:$Q$18,3,FALSE),"")</f>
        <v/>
      </c>
      <c r="N54" s="130" t="str">
        <f t="shared" si="2"/>
        <v/>
      </c>
      <c r="O54" s="130"/>
      <c r="P54" s="132" t="str">
        <f>IFERROR(VLOOKUP(O54,'04.Lista Riscos,Classificação'!$AT$4:$AV$28,3,FALSE),"")</f>
        <v/>
      </c>
      <c r="Q54" s="101"/>
      <c r="R54" s="131" t="str">
        <f>IFERROR(VLOOKUP(O54,'04.Lista Riscos,Classificação'!$AZ$4:$BA$7,2,FALSE),"")</f>
        <v/>
      </c>
      <c r="S54" s="106"/>
      <c r="T54" s="185"/>
      <c r="U54" s="165" t="str">
        <f>IFERROR(VLOOKUP(T54,'04.Lista Riscos,Classificação'!$O$22:$Q$26,3,FALSE),"")</f>
        <v/>
      </c>
      <c r="V54" s="130" t="str">
        <f t="shared" si="3"/>
        <v/>
      </c>
      <c r="W54" s="130" t="str">
        <f>IFERROR(VLOOKUP(V54,'04.Lista Riscos,Classificação'!$AS$4:$AV$28,2,FALSE),"")</f>
        <v/>
      </c>
      <c r="X54" s="101"/>
      <c r="Y54" s="195"/>
    </row>
    <row r="55" spans="2:25" ht="54" customHeight="1">
      <c r="B55" s="148" t="str">
        <f>IFERROR(VLOOKUP(D55,'03.Inventário de Ativos'!$D$4:$E$866,2,FALSE),"")</f>
        <v/>
      </c>
      <c r="C55" s="148" t="str">
        <f>IFERROR(VLOOKUP(D55,'03.Inventário de Ativos'!$D$4:$J$99,7,FALSE),"")</f>
        <v/>
      </c>
      <c r="D55" s="98"/>
      <c r="E55" s="128" t="str">
        <f>IFERROR(VLOOKUP(F55,Tabela2[[Descrição]:[ID. Risco]],2,FALSE),"")</f>
        <v/>
      </c>
      <c r="F55" s="97"/>
      <c r="G55" s="107"/>
      <c r="H55" s="99"/>
      <c r="I55" s="188"/>
      <c r="J55" s="100"/>
      <c r="K55" s="129" t="str">
        <f>IFERROR(VLOOKUP(J55,'04.Lista Riscos,Classificação'!$O$6:$Q$10,3,FALSE),"")</f>
        <v/>
      </c>
      <c r="L55" s="100"/>
      <c r="M55" s="129" t="str">
        <f>IFERROR(VLOOKUP(L55,'04.Lista Riscos,Classificação'!$O$13:$Q$18,3,FALSE),"")</f>
        <v/>
      </c>
      <c r="N55" s="130" t="str">
        <f t="shared" si="2"/>
        <v/>
      </c>
      <c r="O55" s="130"/>
      <c r="P55" s="132" t="str">
        <f>IFERROR(VLOOKUP(O55,'04.Lista Riscos,Classificação'!$AT$4:$AV$28,3,FALSE),"")</f>
        <v/>
      </c>
      <c r="Q55" s="101"/>
      <c r="R55" s="131" t="str">
        <f>IFERROR(VLOOKUP(O55,'04.Lista Riscos,Classificação'!$AZ$4:$BA$7,2,FALSE),"")</f>
        <v/>
      </c>
      <c r="S55" s="106"/>
      <c r="T55" s="185"/>
      <c r="U55" s="165" t="str">
        <f>IFERROR(VLOOKUP(T55,'04.Lista Riscos,Classificação'!$O$22:$Q$26,3,FALSE),"")</f>
        <v/>
      </c>
      <c r="V55" s="130" t="str">
        <f t="shared" si="3"/>
        <v/>
      </c>
      <c r="W55" s="130" t="str">
        <f>IFERROR(VLOOKUP(V55,'04.Lista Riscos,Classificação'!$AS$4:$AV$28,2,FALSE),"")</f>
        <v/>
      </c>
      <c r="X55" s="101"/>
      <c r="Y55" s="195"/>
    </row>
    <row r="56" spans="2:25" ht="54" customHeight="1">
      <c r="B56" s="148" t="str">
        <f>IFERROR(VLOOKUP(D56,'03.Inventário de Ativos'!$D$4:$E$866,2,FALSE),"")</f>
        <v/>
      </c>
      <c r="C56" s="148" t="str">
        <f>IFERROR(VLOOKUP(D56,'03.Inventário de Ativos'!$D$4:$J$99,7,FALSE),"")</f>
        <v/>
      </c>
      <c r="D56" s="98"/>
      <c r="E56" s="128" t="str">
        <f>IFERROR(VLOOKUP(F56,Tabela2[[Descrição]:[ID. Risco]],2,FALSE),"")</f>
        <v/>
      </c>
      <c r="F56" s="97"/>
      <c r="G56" s="107"/>
      <c r="H56" s="99"/>
      <c r="I56" s="188"/>
      <c r="J56" s="100"/>
      <c r="K56" s="129" t="str">
        <f>IFERROR(VLOOKUP(J56,'04.Lista Riscos,Classificação'!$O$6:$Q$10,3,FALSE),"")</f>
        <v/>
      </c>
      <c r="L56" s="100"/>
      <c r="M56" s="129" t="str">
        <f>IFERROR(VLOOKUP(L56,'04.Lista Riscos,Classificação'!$O$13:$Q$18,3,FALSE),"")</f>
        <v/>
      </c>
      <c r="N56" s="130" t="str">
        <f t="shared" si="2"/>
        <v/>
      </c>
      <c r="O56" s="130"/>
      <c r="P56" s="132" t="str">
        <f>IFERROR(VLOOKUP(O56,'04.Lista Riscos,Classificação'!$AT$4:$AV$28,3,FALSE),"")</f>
        <v/>
      </c>
      <c r="Q56" s="101"/>
      <c r="R56" s="131" t="str">
        <f>IFERROR(VLOOKUP(O56,'04.Lista Riscos,Classificação'!$AZ$4:$BA$7,2,FALSE),"")</f>
        <v/>
      </c>
      <c r="S56" s="106"/>
      <c r="T56" s="185"/>
      <c r="U56" s="165" t="str">
        <f>IFERROR(VLOOKUP(T56,'04.Lista Riscos,Classificação'!$O$22:$Q$26,3,FALSE),"")</f>
        <v/>
      </c>
      <c r="V56" s="130" t="str">
        <f t="shared" si="3"/>
        <v/>
      </c>
      <c r="W56" s="130" t="str">
        <f>IFERROR(VLOOKUP(V56,'04.Lista Riscos,Classificação'!$AS$4:$AV$28,2,FALSE),"")</f>
        <v/>
      </c>
      <c r="X56" s="101"/>
      <c r="Y56" s="195"/>
    </row>
    <row r="57" spans="2:25" ht="54" customHeight="1">
      <c r="B57" s="148" t="str">
        <f>IFERROR(VLOOKUP(D57,'03.Inventário de Ativos'!$D$4:$E$866,2,FALSE),"")</f>
        <v/>
      </c>
      <c r="C57" s="148" t="str">
        <f>IFERROR(VLOOKUP(D57,'03.Inventário de Ativos'!$D$4:$J$99,7,FALSE),"")</f>
        <v/>
      </c>
      <c r="D57" s="98"/>
      <c r="E57" s="128" t="str">
        <f>IFERROR(VLOOKUP(F57,Tabela2[[Descrição]:[ID. Risco]],2,FALSE),"")</f>
        <v/>
      </c>
      <c r="F57" s="97"/>
      <c r="G57" s="107"/>
      <c r="H57" s="99"/>
      <c r="I57" s="188"/>
      <c r="J57" s="100"/>
      <c r="K57" s="129" t="str">
        <f>IFERROR(VLOOKUP(J57,'04.Lista Riscos,Classificação'!$O$6:$Q$10,3,FALSE),"")</f>
        <v/>
      </c>
      <c r="L57" s="100"/>
      <c r="M57" s="129" t="str">
        <f>IFERROR(VLOOKUP(L57,'04.Lista Riscos,Classificação'!$O$13:$Q$18,3,FALSE),"")</f>
        <v/>
      </c>
      <c r="N57" s="130" t="str">
        <f t="shared" si="2"/>
        <v/>
      </c>
      <c r="O57" s="130"/>
      <c r="P57" s="132" t="str">
        <f>IFERROR(VLOOKUP(O57,'04.Lista Riscos,Classificação'!$AT$4:$AV$28,3,FALSE),"")</f>
        <v/>
      </c>
      <c r="Q57" s="101"/>
      <c r="R57" s="131" t="str">
        <f>IFERROR(VLOOKUP(O57,'04.Lista Riscos,Classificação'!$AZ$4:$BA$7,2,FALSE),"")</f>
        <v/>
      </c>
      <c r="S57" s="106"/>
      <c r="T57" s="185"/>
      <c r="U57" s="165" t="str">
        <f>IFERROR(VLOOKUP(T57,'04.Lista Riscos,Classificação'!$O$22:$Q$26,3,FALSE),"")</f>
        <v/>
      </c>
      <c r="V57" s="130" t="str">
        <f t="shared" si="3"/>
        <v/>
      </c>
      <c r="W57" s="130" t="str">
        <f>IFERROR(VLOOKUP(V57,'04.Lista Riscos,Classificação'!$AS$4:$AV$28,2,FALSE),"")</f>
        <v/>
      </c>
      <c r="X57" s="101"/>
      <c r="Y57" s="195"/>
    </row>
    <row r="58" spans="2:25" ht="54" customHeight="1">
      <c r="B58" s="148" t="str">
        <f>IFERROR(VLOOKUP(D58,'03.Inventário de Ativos'!$D$4:$E$866,2,FALSE),"")</f>
        <v/>
      </c>
      <c r="C58" s="148" t="str">
        <f>IFERROR(VLOOKUP(D58,'03.Inventário de Ativos'!$D$4:$J$99,7,FALSE),"")</f>
        <v/>
      </c>
      <c r="D58" s="98"/>
      <c r="E58" s="128" t="str">
        <f>IFERROR(VLOOKUP(F58,Tabela2[[Descrição]:[ID. Risco]],2,FALSE),"")</f>
        <v/>
      </c>
      <c r="F58" s="97"/>
      <c r="G58" s="107"/>
      <c r="H58" s="99"/>
      <c r="I58" s="188"/>
      <c r="J58" s="100"/>
      <c r="K58" s="129" t="str">
        <f>IFERROR(VLOOKUP(J58,'04.Lista Riscos,Classificação'!$O$6:$Q$10,3,FALSE),"")</f>
        <v/>
      </c>
      <c r="L58" s="100"/>
      <c r="M58" s="129" t="str">
        <f>IFERROR(VLOOKUP(L58,'04.Lista Riscos,Classificação'!$O$13:$Q$18,3,FALSE),"")</f>
        <v/>
      </c>
      <c r="N58" s="130" t="str">
        <f t="shared" si="2"/>
        <v/>
      </c>
      <c r="O58" s="130"/>
      <c r="P58" s="132" t="str">
        <f>IFERROR(VLOOKUP(O58,'04.Lista Riscos,Classificação'!$AT$4:$AV$28,3,FALSE),"")</f>
        <v/>
      </c>
      <c r="Q58" s="101"/>
      <c r="R58" s="131" t="str">
        <f>IFERROR(VLOOKUP(O58,'04.Lista Riscos,Classificação'!$AZ$4:$BA$7,2,FALSE),"")</f>
        <v/>
      </c>
      <c r="S58" s="106"/>
      <c r="T58" s="185"/>
      <c r="U58" s="165" t="str">
        <f>IFERROR(VLOOKUP(T58,'04.Lista Riscos,Classificação'!$O$22:$Q$26,3,FALSE),"")</f>
        <v/>
      </c>
      <c r="V58" s="130" t="str">
        <f t="shared" si="3"/>
        <v/>
      </c>
      <c r="W58" s="130" t="str">
        <f>IFERROR(VLOOKUP(V58,'04.Lista Riscos,Classificação'!$AS$4:$AV$28,2,FALSE),"")</f>
        <v/>
      </c>
      <c r="X58" s="101"/>
      <c r="Y58" s="195"/>
    </row>
    <row r="59" spans="2:25" ht="54" customHeight="1">
      <c r="B59" s="148" t="str">
        <f>IFERROR(VLOOKUP(D59,'03.Inventário de Ativos'!$D$4:$E$866,2,FALSE),"")</f>
        <v/>
      </c>
      <c r="C59" s="148" t="str">
        <f>IFERROR(VLOOKUP(D59,'03.Inventário de Ativos'!$D$4:$J$99,7,FALSE),"")</f>
        <v/>
      </c>
      <c r="D59" s="98"/>
      <c r="E59" s="128" t="str">
        <f>IFERROR(VLOOKUP(F59,Tabela2[[Descrição]:[ID. Risco]],2,FALSE),"")</f>
        <v/>
      </c>
      <c r="F59" s="97"/>
      <c r="G59" s="107"/>
      <c r="H59" s="99"/>
      <c r="I59" s="188"/>
      <c r="J59" s="100"/>
      <c r="K59" s="129" t="str">
        <f>IFERROR(VLOOKUP(J59,'04.Lista Riscos,Classificação'!$O$6:$Q$10,3,FALSE),"")</f>
        <v/>
      </c>
      <c r="L59" s="100"/>
      <c r="M59" s="129" t="str">
        <f>IFERROR(VLOOKUP(L59,'04.Lista Riscos,Classificação'!$O$13:$Q$18,3,FALSE),"")</f>
        <v/>
      </c>
      <c r="N59" s="130" t="str">
        <f t="shared" si="2"/>
        <v/>
      </c>
      <c r="O59" s="130"/>
      <c r="P59" s="132" t="str">
        <f>IFERROR(VLOOKUP(O59,'04.Lista Riscos,Classificação'!$AT$4:$AV$28,3,FALSE),"")</f>
        <v/>
      </c>
      <c r="Q59" s="101"/>
      <c r="R59" s="131" t="str">
        <f>IFERROR(VLOOKUP(O59,'04.Lista Riscos,Classificação'!$AZ$4:$BA$7,2,FALSE),"")</f>
        <v/>
      </c>
      <c r="S59" s="106"/>
      <c r="T59" s="185"/>
      <c r="U59" s="165" t="str">
        <f>IFERROR(VLOOKUP(T59,'04.Lista Riscos,Classificação'!$O$22:$Q$26,3,FALSE),"")</f>
        <v/>
      </c>
      <c r="V59" s="130" t="str">
        <f t="shared" si="3"/>
        <v/>
      </c>
      <c r="W59" s="130" t="str">
        <f>IFERROR(VLOOKUP(V59,'04.Lista Riscos,Classificação'!$AS$4:$AV$28,2,FALSE),"")</f>
        <v/>
      </c>
      <c r="X59" s="101"/>
      <c r="Y59" s="195"/>
    </row>
    <row r="60" spans="2:25" ht="54" customHeight="1">
      <c r="B60" s="148" t="str">
        <f>IFERROR(VLOOKUP(D60,'03.Inventário de Ativos'!$D$4:$E$866,2,FALSE),"")</f>
        <v/>
      </c>
      <c r="C60" s="148" t="str">
        <f>IFERROR(VLOOKUP(D60,'03.Inventário de Ativos'!$D$4:$J$99,7,FALSE),"")</f>
        <v/>
      </c>
      <c r="D60" s="98"/>
      <c r="E60" s="128" t="str">
        <f>IFERROR(VLOOKUP(F60,Tabela2[[Descrição]:[ID. Risco]],2,FALSE),"")</f>
        <v/>
      </c>
      <c r="F60" s="97"/>
      <c r="G60" s="107"/>
      <c r="H60" s="99"/>
      <c r="I60" s="188"/>
      <c r="J60" s="100"/>
      <c r="K60" s="129" t="str">
        <f>IFERROR(VLOOKUP(J60,'04.Lista Riscos,Classificação'!$O$6:$Q$10,3,FALSE),"")</f>
        <v/>
      </c>
      <c r="L60" s="100"/>
      <c r="M60" s="129" t="str">
        <f>IFERROR(VLOOKUP(L60,'04.Lista Riscos,Classificação'!$O$13:$Q$18,3,FALSE),"")</f>
        <v/>
      </c>
      <c r="N60" s="130" t="str">
        <f t="shared" si="2"/>
        <v/>
      </c>
      <c r="O60" s="130"/>
      <c r="P60" s="132" t="str">
        <f>IFERROR(VLOOKUP(O60,'04.Lista Riscos,Classificação'!$AT$4:$AV$28,3,FALSE),"")</f>
        <v/>
      </c>
      <c r="Q60" s="101"/>
      <c r="R60" s="131" t="str">
        <f>IFERROR(VLOOKUP(O60,'04.Lista Riscos,Classificação'!$AZ$4:$BA$7,2,FALSE),"")</f>
        <v/>
      </c>
      <c r="S60" s="106"/>
      <c r="T60" s="185"/>
      <c r="U60" s="165" t="str">
        <f>IFERROR(VLOOKUP(T60,'04.Lista Riscos,Classificação'!$O$22:$Q$26,3,FALSE),"")</f>
        <v/>
      </c>
      <c r="V60" s="130" t="str">
        <f t="shared" si="3"/>
        <v/>
      </c>
      <c r="W60" s="130" t="str">
        <f>IFERROR(VLOOKUP(V60,'04.Lista Riscos,Classificação'!$AS$4:$AV$28,2,FALSE),"")</f>
        <v/>
      </c>
      <c r="X60" s="101"/>
      <c r="Y60" s="195"/>
    </row>
    <row r="61" spans="2:25" ht="54" customHeight="1">
      <c r="B61" s="148" t="str">
        <f>IFERROR(VLOOKUP(D61,'03.Inventário de Ativos'!$D$4:$E$866,2,FALSE),"")</f>
        <v/>
      </c>
      <c r="C61" s="148" t="str">
        <f>IFERROR(VLOOKUP(D61,'03.Inventário de Ativos'!$D$4:$J$99,7,FALSE),"")</f>
        <v/>
      </c>
      <c r="D61" s="98"/>
      <c r="E61" s="128" t="str">
        <f>IFERROR(VLOOKUP(F61,Tabela2[[Descrição]:[ID. Risco]],2,FALSE),"")</f>
        <v/>
      </c>
      <c r="F61" s="97"/>
      <c r="G61" s="107"/>
      <c r="H61" s="99"/>
      <c r="I61" s="188"/>
      <c r="J61" s="100"/>
      <c r="K61" s="129" t="str">
        <f>IFERROR(VLOOKUP(J61,'04.Lista Riscos,Classificação'!$O$6:$Q$10,3,FALSE),"")</f>
        <v/>
      </c>
      <c r="L61" s="100"/>
      <c r="M61" s="129" t="str">
        <f>IFERROR(VLOOKUP(L61,'04.Lista Riscos,Classificação'!$O$13:$Q$18,3,FALSE),"")</f>
        <v/>
      </c>
      <c r="N61" s="130" t="str">
        <f t="shared" si="2"/>
        <v/>
      </c>
      <c r="O61" s="130"/>
      <c r="P61" s="132" t="str">
        <f>IFERROR(VLOOKUP(O61,'04.Lista Riscos,Classificação'!$AT$4:$AV$28,3,FALSE),"")</f>
        <v/>
      </c>
      <c r="Q61" s="101"/>
      <c r="R61" s="131" t="str">
        <f>IFERROR(VLOOKUP(O61,'04.Lista Riscos,Classificação'!$AZ$4:$BA$7,2,FALSE),"")</f>
        <v/>
      </c>
      <c r="S61" s="106"/>
      <c r="T61" s="185"/>
      <c r="U61" s="165" t="str">
        <f>IFERROR(VLOOKUP(T61,'04.Lista Riscos,Classificação'!$O$22:$Q$26,3,FALSE),"")</f>
        <v/>
      </c>
      <c r="V61" s="130" t="str">
        <f t="shared" si="3"/>
        <v/>
      </c>
      <c r="W61" s="130" t="str">
        <f>IFERROR(VLOOKUP(V61,'04.Lista Riscos,Classificação'!$AS$4:$AV$28,2,FALSE),"")</f>
        <v/>
      </c>
      <c r="X61" s="101"/>
      <c r="Y61" s="195"/>
    </row>
    <row r="62" spans="2:25" ht="54" customHeight="1">
      <c r="B62" s="148" t="str">
        <f>IFERROR(VLOOKUP(D62,'03.Inventário de Ativos'!$D$4:$E$866,2,FALSE),"")</f>
        <v/>
      </c>
      <c r="C62" s="148" t="str">
        <f>IFERROR(VLOOKUP(D62,'03.Inventário de Ativos'!$D$4:$J$99,7,FALSE),"")</f>
        <v/>
      </c>
      <c r="D62" s="98"/>
      <c r="E62" s="128" t="str">
        <f>IFERROR(VLOOKUP(F62,Tabela2[[Descrição]:[ID. Risco]],2,FALSE),"")</f>
        <v/>
      </c>
      <c r="F62" s="97"/>
      <c r="G62" s="107"/>
      <c r="H62" s="99"/>
      <c r="I62" s="188"/>
      <c r="J62" s="100"/>
      <c r="K62" s="129" t="str">
        <f>IFERROR(VLOOKUP(J62,'04.Lista Riscos,Classificação'!$O$6:$Q$10,3,FALSE),"")</f>
        <v/>
      </c>
      <c r="L62" s="100"/>
      <c r="M62" s="129" t="str">
        <f>IFERROR(VLOOKUP(L62,'04.Lista Riscos,Classificação'!$O$13:$Q$18,3,FALSE),"")</f>
        <v/>
      </c>
      <c r="N62" s="130" t="str">
        <f t="shared" si="2"/>
        <v/>
      </c>
      <c r="O62" s="130"/>
      <c r="P62" s="132" t="str">
        <f>IFERROR(VLOOKUP(O62,'04.Lista Riscos,Classificação'!$AT$4:$AV$28,3,FALSE),"")</f>
        <v/>
      </c>
      <c r="Q62" s="101"/>
      <c r="R62" s="131" t="str">
        <f>IFERROR(VLOOKUP(O62,'04.Lista Riscos,Classificação'!$AZ$4:$BA$7,2,FALSE),"")</f>
        <v/>
      </c>
      <c r="S62" s="106"/>
      <c r="T62" s="185"/>
      <c r="U62" s="165" t="str">
        <f>IFERROR(VLOOKUP(T62,'04.Lista Riscos,Classificação'!$O$22:$Q$26,3,FALSE),"")</f>
        <v/>
      </c>
      <c r="V62" s="130" t="str">
        <f t="shared" si="3"/>
        <v/>
      </c>
      <c r="W62" s="130" t="str">
        <f>IFERROR(VLOOKUP(V62,'04.Lista Riscos,Classificação'!$AS$4:$AV$28,2,FALSE),"")</f>
        <v/>
      </c>
      <c r="X62" s="101"/>
      <c r="Y62" s="195"/>
    </row>
    <row r="63" spans="2:25" ht="54" customHeight="1">
      <c r="B63" s="148" t="str">
        <f>IFERROR(VLOOKUP(D63,'03.Inventário de Ativos'!$D$4:$E$866,2,FALSE),"")</f>
        <v/>
      </c>
      <c r="C63" s="148" t="str">
        <f>IFERROR(VLOOKUP(D63,'03.Inventário de Ativos'!$D$4:$J$99,7,FALSE),"")</f>
        <v/>
      </c>
      <c r="D63" s="98"/>
      <c r="E63" s="128" t="str">
        <f>IFERROR(VLOOKUP(F63,Tabela2[[Descrição]:[ID. Risco]],2,FALSE),"")</f>
        <v/>
      </c>
      <c r="F63" s="97"/>
      <c r="G63" s="107"/>
      <c r="H63" s="99"/>
      <c r="I63" s="188"/>
      <c r="J63" s="100"/>
      <c r="K63" s="129" t="str">
        <f>IFERROR(VLOOKUP(J63,'04.Lista Riscos,Classificação'!$O$6:$Q$10,3,FALSE),"")</f>
        <v/>
      </c>
      <c r="L63" s="100"/>
      <c r="M63" s="129" t="str">
        <f>IFERROR(VLOOKUP(L63,'04.Lista Riscos,Classificação'!$O$13:$Q$18,3,FALSE),"")</f>
        <v/>
      </c>
      <c r="N63" s="130" t="str">
        <f t="shared" si="2"/>
        <v/>
      </c>
      <c r="O63" s="130"/>
      <c r="P63" s="132" t="str">
        <f>IFERROR(VLOOKUP(O63,'04.Lista Riscos,Classificação'!$AT$4:$AV$28,3,FALSE),"")</f>
        <v/>
      </c>
      <c r="Q63" s="101"/>
      <c r="R63" s="131" t="str">
        <f>IFERROR(VLOOKUP(O63,'04.Lista Riscos,Classificação'!$AZ$4:$BA$7,2,FALSE),"")</f>
        <v/>
      </c>
      <c r="S63" s="106"/>
      <c r="T63" s="185"/>
      <c r="U63" s="165" t="str">
        <f>IFERROR(VLOOKUP(T63,'04.Lista Riscos,Classificação'!$O$22:$Q$26,3,FALSE),"")</f>
        <v/>
      </c>
      <c r="V63" s="130" t="str">
        <f t="shared" si="3"/>
        <v/>
      </c>
      <c r="W63" s="130" t="str">
        <f>IFERROR(VLOOKUP(V63,'04.Lista Riscos,Classificação'!$AS$4:$AV$28,2,FALSE),"")</f>
        <v/>
      </c>
      <c r="X63" s="101"/>
      <c r="Y63" s="195"/>
    </row>
    <row r="64" spans="2:25" ht="54" customHeight="1">
      <c r="B64" s="148" t="str">
        <f>IFERROR(VLOOKUP(D64,'03.Inventário de Ativos'!$D$4:$E$866,2,FALSE),"")</f>
        <v/>
      </c>
      <c r="C64" s="148" t="str">
        <f>IFERROR(VLOOKUP(D64,'03.Inventário de Ativos'!$D$4:$J$99,7,FALSE),"")</f>
        <v/>
      </c>
      <c r="D64" s="98"/>
      <c r="E64" s="128" t="str">
        <f>IFERROR(VLOOKUP(F64,Tabela2[[Descrição]:[ID. Risco]],2,FALSE),"")</f>
        <v/>
      </c>
      <c r="F64" s="97"/>
      <c r="G64" s="107"/>
      <c r="H64" s="99"/>
      <c r="I64" s="188"/>
      <c r="J64" s="100"/>
      <c r="K64" s="129" t="str">
        <f>IFERROR(VLOOKUP(J64,'04.Lista Riscos,Classificação'!$O$6:$Q$10,3,FALSE),"")</f>
        <v/>
      </c>
      <c r="L64" s="100"/>
      <c r="M64" s="129" t="str">
        <f>IFERROR(VLOOKUP(L64,'04.Lista Riscos,Classificação'!$O$13:$Q$18,3,FALSE),"")</f>
        <v/>
      </c>
      <c r="N64" s="130" t="str">
        <f t="shared" si="2"/>
        <v/>
      </c>
      <c r="O64" s="130"/>
      <c r="P64" s="132" t="str">
        <f>IFERROR(VLOOKUP(O64,'04.Lista Riscos,Classificação'!$AT$4:$AV$28,3,FALSE),"")</f>
        <v/>
      </c>
      <c r="Q64" s="101"/>
      <c r="R64" s="131" t="str">
        <f>IFERROR(VLOOKUP(O64,'04.Lista Riscos,Classificação'!$AZ$4:$BA$7,2,FALSE),"")</f>
        <v/>
      </c>
      <c r="S64" s="106"/>
      <c r="T64" s="185"/>
      <c r="U64" s="165" t="str">
        <f>IFERROR(VLOOKUP(T64,'04.Lista Riscos,Classificação'!$O$22:$Q$26,3,FALSE),"")</f>
        <v/>
      </c>
      <c r="V64" s="130" t="str">
        <f t="shared" si="3"/>
        <v/>
      </c>
      <c r="W64" s="130" t="str">
        <f>IFERROR(VLOOKUP(V64,'04.Lista Riscos,Classificação'!$AS$4:$AV$28,2,FALSE),"")</f>
        <v/>
      </c>
      <c r="X64" s="101"/>
      <c r="Y64" s="195"/>
    </row>
    <row r="65" spans="2:25" ht="54" customHeight="1">
      <c r="B65" s="148" t="str">
        <f>IFERROR(VLOOKUP(D65,'03.Inventário de Ativos'!$D$4:$E$866,2,FALSE),"")</f>
        <v/>
      </c>
      <c r="C65" s="148" t="str">
        <f>IFERROR(VLOOKUP(D65,'03.Inventário de Ativos'!$D$4:$J$99,7,FALSE),"")</f>
        <v/>
      </c>
      <c r="D65" s="98"/>
      <c r="E65" s="128" t="str">
        <f>IFERROR(VLOOKUP(F65,Tabela2[[Descrição]:[ID. Risco]],2,FALSE),"")</f>
        <v/>
      </c>
      <c r="F65" s="97"/>
      <c r="G65" s="107"/>
      <c r="H65" s="99"/>
      <c r="I65" s="188"/>
      <c r="J65" s="100"/>
      <c r="K65" s="129" t="str">
        <f>IFERROR(VLOOKUP(J65,'04.Lista Riscos,Classificação'!$O$6:$Q$10,3,FALSE),"")</f>
        <v/>
      </c>
      <c r="L65" s="100"/>
      <c r="M65" s="129" t="str">
        <f>IFERROR(VLOOKUP(L65,'04.Lista Riscos,Classificação'!$O$13:$Q$18,3,FALSE),"")</f>
        <v/>
      </c>
      <c r="N65" s="130" t="str">
        <f t="shared" si="2"/>
        <v/>
      </c>
      <c r="O65" s="130"/>
      <c r="P65" s="132" t="str">
        <f>IFERROR(VLOOKUP(O65,'04.Lista Riscos,Classificação'!$AT$4:$AV$28,3,FALSE),"")</f>
        <v/>
      </c>
      <c r="Q65" s="101"/>
      <c r="R65" s="131" t="str">
        <f>IFERROR(VLOOKUP(O65,'04.Lista Riscos,Classificação'!$AZ$4:$BA$7,2,FALSE),"")</f>
        <v/>
      </c>
      <c r="S65" s="106"/>
      <c r="T65" s="185"/>
      <c r="U65" s="165" t="str">
        <f>IFERROR(VLOOKUP(T65,'04.Lista Riscos,Classificação'!$O$22:$Q$26,3,FALSE),"")</f>
        <v/>
      </c>
      <c r="V65" s="130" t="str">
        <f t="shared" si="3"/>
        <v/>
      </c>
      <c r="W65" s="130" t="str">
        <f>IFERROR(VLOOKUP(V65,'04.Lista Riscos,Classificação'!$AS$4:$AV$28,2,FALSE),"")</f>
        <v/>
      </c>
      <c r="X65" s="101"/>
      <c r="Y65" s="195"/>
    </row>
    <row r="66" spans="2:25" ht="54" customHeight="1">
      <c r="B66" s="148" t="str">
        <f>IFERROR(VLOOKUP(D66,'03.Inventário de Ativos'!$D$4:$E$866,2,FALSE),"")</f>
        <v/>
      </c>
      <c r="C66" s="148" t="str">
        <f>IFERROR(VLOOKUP(D66,'03.Inventário de Ativos'!$D$4:$J$99,7,FALSE),"")</f>
        <v/>
      </c>
      <c r="D66" s="98"/>
      <c r="E66" s="128" t="str">
        <f>IFERROR(VLOOKUP(F66,Tabela2[[Descrição]:[ID. Risco]],2,FALSE),"")</f>
        <v/>
      </c>
      <c r="F66" s="97"/>
      <c r="G66" s="107"/>
      <c r="H66" s="99"/>
      <c r="I66" s="188"/>
      <c r="J66" s="100"/>
      <c r="K66" s="129" t="str">
        <f>IFERROR(VLOOKUP(J66,'04.Lista Riscos,Classificação'!$O$6:$Q$10,3,FALSE),"")</f>
        <v/>
      </c>
      <c r="L66" s="100"/>
      <c r="M66" s="129" t="str">
        <f>IFERROR(VLOOKUP(L66,'04.Lista Riscos,Classificação'!$O$13:$Q$18,3,FALSE),"")</f>
        <v/>
      </c>
      <c r="N66" s="130" t="str">
        <f t="shared" si="2"/>
        <v/>
      </c>
      <c r="O66" s="130"/>
      <c r="P66" s="132" t="str">
        <f>IFERROR(VLOOKUP(O66,'04.Lista Riscos,Classificação'!$AT$4:$AV$28,3,FALSE),"")</f>
        <v/>
      </c>
      <c r="Q66" s="101"/>
      <c r="R66" s="131" t="str">
        <f>IFERROR(VLOOKUP(O66,'04.Lista Riscos,Classificação'!$AZ$4:$BA$7,2,FALSE),"")</f>
        <v/>
      </c>
      <c r="S66" s="106"/>
      <c r="T66" s="185"/>
      <c r="U66" s="165" t="str">
        <f>IFERROR(VLOOKUP(T66,'04.Lista Riscos,Classificação'!$O$22:$Q$26,3,FALSE),"")</f>
        <v/>
      </c>
      <c r="V66" s="130" t="str">
        <f t="shared" si="3"/>
        <v/>
      </c>
      <c r="W66" s="130" t="str">
        <f>IFERROR(VLOOKUP(V66,'04.Lista Riscos,Classificação'!$AS$4:$AV$28,2,FALSE),"")</f>
        <v/>
      </c>
      <c r="X66" s="101"/>
      <c r="Y66" s="195"/>
    </row>
    <row r="67" spans="2:25" ht="54" customHeight="1">
      <c r="B67" s="148" t="str">
        <f>IFERROR(VLOOKUP(D67,'03.Inventário de Ativos'!$D$4:$E$866,2,FALSE),"")</f>
        <v/>
      </c>
      <c r="C67" s="148" t="str">
        <f>IFERROR(VLOOKUP(D67,'03.Inventário de Ativos'!$D$4:$J$99,7,FALSE),"")</f>
        <v/>
      </c>
      <c r="D67" s="98"/>
      <c r="E67" s="128" t="str">
        <f>IFERROR(VLOOKUP(F67,Tabela2[[Descrição]:[ID. Risco]],2,FALSE),"")</f>
        <v/>
      </c>
      <c r="F67" s="97"/>
      <c r="G67" s="107"/>
      <c r="H67" s="99"/>
      <c r="I67" s="188"/>
      <c r="J67" s="100"/>
      <c r="K67" s="129" t="str">
        <f>IFERROR(VLOOKUP(J67,'04.Lista Riscos,Classificação'!$O$6:$Q$10,3,FALSE),"")</f>
        <v/>
      </c>
      <c r="L67" s="100"/>
      <c r="M67" s="129" t="str">
        <f>IFERROR(VLOOKUP(L67,'04.Lista Riscos,Classificação'!$O$13:$Q$18,3,FALSE),"")</f>
        <v/>
      </c>
      <c r="N67" s="130" t="str">
        <f t="shared" si="2"/>
        <v/>
      </c>
      <c r="O67" s="130"/>
      <c r="P67" s="132" t="str">
        <f>IFERROR(VLOOKUP(O67,'04.Lista Riscos,Classificação'!$AT$4:$AV$28,3,FALSE),"")</f>
        <v/>
      </c>
      <c r="Q67" s="101"/>
      <c r="R67" s="131" t="str">
        <f>IFERROR(VLOOKUP(O67,'04.Lista Riscos,Classificação'!$AZ$4:$BA$7,2,FALSE),"")</f>
        <v/>
      </c>
      <c r="S67" s="106"/>
      <c r="T67" s="185"/>
      <c r="U67" s="165" t="str">
        <f>IFERROR(VLOOKUP(T67,'04.Lista Riscos,Classificação'!$O$22:$Q$26,3,FALSE),"")</f>
        <v/>
      </c>
      <c r="V67" s="130" t="str">
        <f t="shared" si="3"/>
        <v/>
      </c>
      <c r="W67" s="130" t="str">
        <f>IFERROR(VLOOKUP(V67,'04.Lista Riscos,Classificação'!$AS$4:$AV$28,2,FALSE),"")</f>
        <v/>
      </c>
      <c r="X67" s="101"/>
      <c r="Y67" s="195"/>
    </row>
    <row r="68" spans="2:25" ht="54" customHeight="1">
      <c r="B68" s="148" t="str">
        <f>IFERROR(VLOOKUP(D68,'03.Inventário de Ativos'!$D$4:$E$866,2,FALSE),"")</f>
        <v/>
      </c>
      <c r="C68" s="148" t="str">
        <f>IFERROR(VLOOKUP(D68,'03.Inventário de Ativos'!$D$4:$J$99,7,FALSE),"")</f>
        <v/>
      </c>
      <c r="D68" s="98"/>
      <c r="E68" s="128" t="str">
        <f>IFERROR(VLOOKUP(F68,Tabela2[[Descrição]:[ID. Risco]],2,FALSE),"")</f>
        <v/>
      </c>
      <c r="F68" s="97"/>
      <c r="G68" s="107"/>
      <c r="H68" s="99"/>
      <c r="I68" s="188"/>
      <c r="J68" s="100"/>
      <c r="K68" s="129" t="str">
        <f>IFERROR(VLOOKUP(J68,'04.Lista Riscos,Classificação'!$O$6:$Q$10,3,FALSE),"")</f>
        <v/>
      </c>
      <c r="L68" s="100"/>
      <c r="M68" s="129" t="str">
        <f>IFERROR(VLOOKUP(L68,'04.Lista Riscos,Classificação'!$O$13:$Q$18,3,FALSE),"")</f>
        <v/>
      </c>
      <c r="N68" s="130" t="str">
        <f t="shared" si="2"/>
        <v/>
      </c>
      <c r="O68" s="130"/>
      <c r="P68" s="132" t="str">
        <f>IFERROR(VLOOKUP(O68,'04.Lista Riscos,Classificação'!$AT$4:$AV$28,3,FALSE),"")</f>
        <v/>
      </c>
      <c r="Q68" s="101"/>
      <c r="R68" s="131" t="str">
        <f>IFERROR(VLOOKUP(O68,'04.Lista Riscos,Classificação'!$AZ$4:$BA$7,2,FALSE),"")</f>
        <v/>
      </c>
      <c r="S68" s="106"/>
      <c r="T68" s="185"/>
      <c r="U68" s="165" t="str">
        <f>IFERROR(VLOOKUP(T68,'04.Lista Riscos,Classificação'!$O$22:$Q$26,3,FALSE),"")</f>
        <v/>
      </c>
      <c r="V68" s="130" t="str">
        <f t="shared" si="3"/>
        <v/>
      </c>
      <c r="W68" s="130" t="str">
        <f>IFERROR(VLOOKUP(V68,'04.Lista Riscos,Classificação'!$AS$4:$AV$28,2,FALSE),"")</f>
        <v/>
      </c>
      <c r="X68" s="101"/>
      <c r="Y68" s="195"/>
    </row>
    <row r="69" spans="2:25" ht="54" customHeight="1">
      <c r="B69" s="148" t="str">
        <f>IFERROR(VLOOKUP(D69,'03.Inventário de Ativos'!$D$4:$E$866,2,FALSE),"")</f>
        <v/>
      </c>
      <c r="C69" s="148" t="str">
        <f>IFERROR(VLOOKUP(D69,'03.Inventário de Ativos'!$D$4:$J$99,7,FALSE),"")</f>
        <v/>
      </c>
      <c r="D69" s="98"/>
      <c r="E69" s="128" t="str">
        <f>IFERROR(VLOOKUP(F69,Tabela2[[Descrição]:[ID. Risco]],2,FALSE),"")</f>
        <v/>
      </c>
      <c r="F69" s="97"/>
      <c r="G69" s="107" t="str">
        <f t="shared" ref="G69:G97" si="4">C69</f>
        <v/>
      </c>
      <c r="H69" s="99"/>
      <c r="I69" s="188"/>
      <c r="J69" s="100"/>
      <c r="K69" s="129" t="str">
        <f>IFERROR(VLOOKUP(J69,'04.Lista Riscos,Classificação'!$O$6:$Q$10,3,FALSE),"")</f>
        <v/>
      </c>
      <c r="L69" s="100"/>
      <c r="M69" s="129" t="str">
        <f>IFERROR(VLOOKUP(L69,'04.Lista Riscos,Classificação'!$O$13:$Q$18,3,FALSE),"")</f>
        <v/>
      </c>
      <c r="N69" s="130" t="str">
        <f t="shared" ref="N69:N97" si="5">IFERROR(K69*M69,"")</f>
        <v/>
      </c>
      <c r="O69" s="130" t="str">
        <f>IFERROR(VLOOKUP(N69,'04.Lista Riscos,Classificação'!$AS$4:$AT$28,2,FALSE),"")</f>
        <v/>
      </c>
      <c r="P69" s="132" t="str">
        <f>IFERROR(VLOOKUP(O69,'04.Lista Riscos,Classificação'!$AT$4:$AV$28,3,FALSE),"")</f>
        <v/>
      </c>
      <c r="Q69" s="101"/>
      <c r="R69" s="131" t="str">
        <f>IFERROR(VLOOKUP(O69,'04.Lista Riscos,Classificação'!$AZ$4:$BA$7,2,FALSE),"")</f>
        <v/>
      </c>
      <c r="S69" s="106"/>
      <c r="T69" s="185"/>
      <c r="U69" s="165" t="str">
        <f>IFERROR(VLOOKUP(T69,'04.Lista Riscos,Classificação'!$O$22:$Q$26,3,FALSE),"")</f>
        <v/>
      </c>
      <c r="V69" s="130" t="str">
        <f t="shared" ref="V69:V97" si="6">IFERROR(ROUND((N69*(100%-U69)),0),"")</f>
        <v/>
      </c>
      <c r="W69" s="130" t="str">
        <f>IFERROR(VLOOKUP(V69,'04.Lista Riscos,Classificação'!$AS$4:$AV$28,2,FALSE),"")</f>
        <v/>
      </c>
      <c r="X69" s="101"/>
      <c r="Y69" s="195"/>
    </row>
    <row r="70" spans="2:25" ht="54" customHeight="1">
      <c r="B70" s="148" t="str">
        <f>IFERROR(VLOOKUP(D70,'03.Inventário de Ativos'!$D$4:$E$866,2,FALSE),"")</f>
        <v/>
      </c>
      <c r="C70" s="148" t="str">
        <f>IFERROR(VLOOKUP(D70,'03.Inventário de Ativos'!$D$4:$J$99,7,FALSE),"")</f>
        <v/>
      </c>
      <c r="D70" s="98"/>
      <c r="E70" s="128" t="str">
        <f>IFERROR(VLOOKUP(F70,Tabela2[[Descrição]:[ID. Risco]],2,FALSE),"")</f>
        <v/>
      </c>
      <c r="F70" s="97"/>
      <c r="G70" s="107" t="str">
        <f t="shared" si="4"/>
        <v/>
      </c>
      <c r="H70" s="99"/>
      <c r="I70" s="188"/>
      <c r="J70" s="100"/>
      <c r="K70" s="129" t="str">
        <f>IFERROR(VLOOKUP(J70,'04.Lista Riscos,Classificação'!$O$6:$Q$10,3,FALSE),"")</f>
        <v/>
      </c>
      <c r="L70" s="100"/>
      <c r="M70" s="129" t="str">
        <f>IFERROR(VLOOKUP(L70,'04.Lista Riscos,Classificação'!$O$13:$Q$18,3,FALSE),"")</f>
        <v/>
      </c>
      <c r="N70" s="130" t="str">
        <f t="shared" si="5"/>
        <v/>
      </c>
      <c r="O70" s="130" t="str">
        <f>IFERROR(VLOOKUP(N70,'04.Lista Riscos,Classificação'!$AS$4:$AT$28,2,FALSE),"")</f>
        <v/>
      </c>
      <c r="P70" s="132" t="str">
        <f>IFERROR(VLOOKUP(O70,'04.Lista Riscos,Classificação'!$AT$4:$AV$28,3,FALSE),"")</f>
        <v/>
      </c>
      <c r="Q70" s="101"/>
      <c r="R70" s="131" t="str">
        <f>IFERROR(VLOOKUP(O70,'04.Lista Riscos,Classificação'!$AZ$4:$BA$7,2,FALSE),"")</f>
        <v/>
      </c>
      <c r="S70" s="106"/>
      <c r="T70" s="185"/>
      <c r="U70" s="165" t="str">
        <f>IFERROR(VLOOKUP(T70,'04.Lista Riscos,Classificação'!$O$22:$Q$26,3,FALSE),"")</f>
        <v/>
      </c>
      <c r="V70" s="130" t="str">
        <f t="shared" si="6"/>
        <v/>
      </c>
      <c r="W70" s="130" t="str">
        <f>IFERROR(VLOOKUP(V70,'04.Lista Riscos,Classificação'!$AS$4:$AV$28,2,FALSE),"")</f>
        <v/>
      </c>
      <c r="X70" s="101"/>
      <c r="Y70" s="195"/>
    </row>
    <row r="71" spans="2:25" ht="54" customHeight="1">
      <c r="B71" s="148" t="str">
        <f>IFERROR(VLOOKUP(D71,'03.Inventário de Ativos'!$D$4:$E$866,2,FALSE),"")</f>
        <v/>
      </c>
      <c r="C71" s="148" t="str">
        <f>IFERROR(VLOOKUP(D71,'03.Inventário de Ativos'!$D$4:$J$99,7,FALSE),"")</f>
        <v/>
      </c>
      <c r="D71" s="98"/>
      <c r="E71" s="128" t="str">
        <f>IFERROR(VLOOKUP(F71,Tabela2[[Descrição]:[ID. Risco]],2,FALSE),"")</f>
        <v/>
      </c>
      <c r="F71" s="97"/>
      <c r="G71" s="107" t="str">
        <f t="shared" si="4"/>
        <v/>
      </c>
      <c r="H71" s="99"/>
      <c r="I71" s="188"/>
      <c r="J71" s="100"/>
      <c r="K71" s="129" t="str">
        <f>IFERROR(VLOOKUP(J71,'04.Lista Riscos,Classificação'!$O$6:$Q$10,3,FALSE),"")</f>
        <v/>
      </c>
      <c r="L71" s="100"/>
      <c r="M71" s="129" t="str">
        <f>IFERROR(VLOOKUP(L71,'04.Lista Riscos,Classificação'!$O$13:$Q$18,3,FALSE),"")</f>
        <v/>
      </c>
      <c r="N71" s="130" t="str">
        <f t="shared" si="5"/>
        <v/>
      </c>
      <c r="O71" s="130" t="str">
        <f>IFERROR(VLOOKUP(N71,'04.Lista Riscos,Classificação'!$AS$4:$AT$28,2,FALSE),"")</f>
        <v/>
      </c>
      <c r="P71" s="132" t="str">
        <f>IFERROR(VLOOKUP(O71,'04.Lista Riscos,Classificação'!$AT$4:$AV$28,3,FALSE),"")</f>
        <v/>
      </c>
      <c r="Q71" s="101"/>
      <c r="R71" s="131" t="str">
        <f>IFERROR(VLOOKUP(O71,'04.Lista Riscos,Classificação'!$AZ$4:$BA$7,2,FALSE),"")</f>
        <v/>
      </c>
      <c r="S71" s="106"/>
      <c r="T71" s="185"/>
      <c r="U71" s="165" t="str">
        <f>IFERROR(VLOOKUP(T71,'04.Lista Riscos,Classificação'!$O$22:$Q$26,3,FALSE),"")</f>
        <v/>
      </c>
      <c r="V71" s="130" t="str">
        <f t="shared" si="6"/>
        <v/>
      </c>
      <c r="W71" s="130" t="str">
        <f>IFERROR(VLOOKUP(V71,'04.Lista Riscos,Classificação'!$AS$4:$AV$28,2,FALSE),"")</f>
        <v/>
      </c>
      <c r="X71" s="101"/>
      <c r="Y71" s="195"/>
    </row>
    <row r="72" spans="2:25" ht="54" customHeight="1">
      <c r="B72" s="148" t="str">
        <f>IFERROR(VLOOKUP(D72,'03.Inventário de Ativos'!$D$4:$E$866,2,FALSE),"")</f>
        <v/>
      </c>
      <c r="C72" s="148" t="str">
        <f>IFERROR(VLOOKUP(D72,'03.Inventário de Ativos'!$D$4:$J$99,7,FALSE),"")</f>
        <v/>
      </c>
      <c r="D72" s="98"/>
      <c r="E72" s="128" t="str">
        <f>IFERROR(VLOOKUP(F72,Tabela2[[Descrição]:[ID. Risco]],2,FALSE),"")</f>
        <v/>
      </c>
      <c r="F72" s="97"/>
      <c r="G72" s="107" t="str">
        <f t="shared" si="4"/>
        <v/>
      </c>
      <c r="H72" s="99"/>
      <c r="I72" s="188"/>
      <c r="J72" s="100"/>
      <c r="K72" s="129" t="str">
        <f>IFERROR(VLOOKUP(J72,'04.Lista Riscos,Classificação'!$O$6:$Q$10,3,FALSE),"")</f>
        <v/>
      </c>
      <c r="L72" s="100"/>
      <c r="M72" s="129" t="str">
        <f>IFERROR(VLOOKUP(L72,'04.Lista Riscos,Classificação'!$O$13:$Q$18,3,FALSE),"")</f>
        <v/>
      </c>
      <c r="N72" s="130" t="str">
        <f t="shared" si="5"/>
        <v/>
      </c>
      <c r="O72" s="130" t="str">
        <f>IFERROR(VLOOKUP(N72,'04.Lista Riscos,Classificação'!$AS$4:$AT$28,2,FALSE),"")</f>
        <v/>
      </c>
      <c r="P72" s="132" t="str">
        <f>IFERROR(VLOOKUP(O72,'04.Lista Riscos,Classificação'!$AT$4:$AV$28,3,FALSE),"")</f>
        <v/>
      </c>
      <c r="Q72" s="101"/>
      <c r="R72" s="131" t="str">
        <f>IFERROR(VLOOKUP(O72,'04.Lista Riscos,Classificação'!$AZ$4:$BA$7,2,FALSE),"")</f>
        <v/>
      </c>
      <c r="S72" s="106"/>
      <c r="T72" s="185"/>
      <c r="U72" s="165" t="str">
        <f>IFERROR(VLOOKUP(T72,'04.Lista Riscos,Classificação'!$O$22:$Q$26,3,FALSE),"")</f>
        <v/>
      </c>
      <c r="V72" s="130" t="str">
        <f t="shared" si="6"/>
        <v/>
      </c>
      <c r="W72" s="130" t="str">
        <f>IFERROR(VLOOKUP(V72,'04.Lista Riscos,Classificação'!$AS$4:$AV$28,2,FALSE),"")</f>
        <v/>
      </c>
      <c r="X72" s="101"/>
      <c r="Y72" s="195"/>
    </row>
    <row r="73" spans="2:25" ht="54" customHeight="1">
      <c r="B73" s="148" t="str">
        <f>IFERROR(VLOOKUP(D73,'03.Inventário de Ativos'!$D$4:$E$866,2,FALSE),"")</f>
        <v/>
      </c>
      <c r="C73" s="148" t="str">
        <f>IFERROR(VLOOKUP(D73,'03.Inventário de Ativos'!$D$4:$J$99,7,FALSE),"")</f>
        <v/>
      </c>
      <c r="D73" s="98"/>
      <c r="E73" s="128" t="str">
        <f>IFERROR(VLOOKUP(F73,Tabela2[[Descrição]:[ID. Risco]],2,FALSE),"")</f>
        <v/>
      </c>
      <c r="F73" s="97"/>
      <c r="G73" s="107" t="str">
        <f t="shared" si="4"/>
        <v/>
      </c>
      <c r="H73" s="99"/>
      <c r="I73" s="188"/>
      <c r="J73" s="100"/>
      <c r="K73" s="129" t="str">
        <f>IFERROR(VLOOKUP(J73,'04.Lista Riscos,Classificação'!$O$6:$Q$10,3,FALSE),"")</f>
        <v/>
      </c>
      <c r="L73" s="100"/>
      <c r="M73" s="129" t="str">
        <f>IFERROR(VLOOKUP(L73,'04.Lista Riscos,Classificação'!$O$13:$Q$18,3,FALSE),"")</f>
        <v/>
      </c>
      <c r="N73" s="130" t="str">
        <f t="shared" si="5"/>
        <v/>
      </c>
      <c r="O73" s="130" t="str">
        <f>IFERROR(VLOOKUP(N73,'04.Lista Riscos,Classificação'!$AS$4:$AT$28,2,FALSE),"")</f>
        <v/>
      </c>
      <c r="P73" s="132" t="str">
        <f>IFERROR(VLOOKUP(O73,'04.Lista Riscos,Classificação'!$AT$4:$AV$28,3,FALSE),"")</f>
        <v/>
      </c>
      <c r="Q73" s="101"/>
      <c r="R73" s="131" t="str">
        <f>IFERROR(VLOOKUP(O73,'04.Lista Riscos,Classificação'!$AZ$4:$BA$7,2,FALSE),"")</f>
        <v/>
      </c>
      <c r="S73" s="106"/>
      <c r="T73" s="185"/>
      <c r="U73" s="165" t="str">
        <f>IFERROR(VLOOKUP(T73,'04.Lista Riscos,Classificação'!$O$22:$Q$26,3,FALSE),"")</f>
        <v/>
      </c>
      <c r="V73" s="130" t="str">
        <f t="shared" si="6"/>
        <v/>
      </c>
      <c r="W73" s="130" t="str">
        <f>IFERROR(VLOOKUP(V73,'04.Lista Riscos,Classificação'!$AS$4:$AV$28,2,FALSE),"")</f>
        <v/>
      </c>
      <c r="X73" s="101"/>
      <c r="Y73" s="195"/>
    </row>
    <row r="74" spans="2:25" ht="54" customHeight="1">
      <c r="B74" s="148" t="str">
        <f>IFERROR(VLOOKUP(D74,'03.Inventário de Ativos'!$D$4:$E$866,2,FALSE),"")</f>
        <v/>
      </c>
      <c r="C74" s="148" t="str">
        <f>IFERROR(VLOOKUP(D74,'03.Inventário de Ativos'!$D$4:$J$99,7,FALSE),"")</f>
        <v/>
      </c>
      <c r="D74" s="98"/>
      <c r="E74" s="128" t="str">
        <f>IFERROR(VLOOKUP(F74,Tabela2[[Descrição]:[ID. Risco]],2,FALSE),"")</f>
        <v/>
      </c>
      <c r="F74" s="97"/>
      <c r="G74" s="107" t="str">
        <f t="shared" si="4"/>
        <v/>
      </c>
      <c r="H74" s="99"/>
      <c r="I74" s="188"/>
      <c r="J74" s="100"/>
      <c r="K74" s="129" t="str">
        <f>IFERROR(VLOOKUP(J74,'04.Lista Riscos,Classificação'!$O$6:$Q$10,3,FALSE),"")</f>
        <v/>
      </c>
      <c r="L74" s="100"/>
      <c r="M74" s="129" t="str">
        <f>IFERROR(VLOOKUP(L74,'04.Lista Riscos,Classificação'!$O$13:$Q$18,3,FALSE),"")</f>
        <v/>
      </c>
      <c r="N74" s="130" t="str">
        <f t="shared" si="5"/>
        <v/>
      </c>
      <c r="O74" s="130" t="str">
        <f>IFERROR(VLOOKUP(N74,'04.Lista Riscos,Classificação'!$AS$4:$AT$28,2,FALSE),"")</f>
        <v/>
      </c>
      <c r="P74" s="132" t="str">
        <f>IFERROR(VLOOKUP(O74,'04.Lista Riscos,Classificação'!$AT$4:$AV$28,3,FALSE),"")</f>
        <v/>
      </c>
      <c r="Q74" s="101"/>
      <c r="R74" s="131" t="str">
        <f>IFERROR(VLOOKUP(O74,'04.Lista Riscos,Classificação'!$AZ$4:$BA$7,2,FALSE),"")</f>
        <v/>
      </c>
      <c r="S74" s="106"/>
      <c r="T74" s="185"/>
      <c r="U74" s="165" t="str">
        <f>IFERROR(VLOOKUP(T74,'04.Lista Riscos,Classificação'!$O$22:$Q$26,3,FALSE),"")</f>
        <v/>
      </c>
      <c r="V74" s="130" t="str">
        <f t="shared" si="6"/>
        <v/>
      </c>
      <c r="W74" s="130" t="str">
        <f>IFERROR(VLOOKUP(V74,'04.Lista Riscos,Classificação'!$AS$4:$AV$28,2,FALSE),"")</f>
        <v/>
      </c>
      <c r="X74" s="101"/>
      <c r="Y74" s="195"/>
    </row>
    <row r="75" spans="2:25" ht="54" customHeight="1">
      <c r="B75" s="148" t="str">
        <f>IFERROR(VLOOKUP(D75,'03.Inventário de Ativos'!$D$4:$E$866,2,FALSE),"")</f>
        <v/>
      </c>
      <c r="C75" s="148" t="str">
        <f>IFERROR(VLOOKUP(D75,'03.Inventário de Ativos'!$D$4:$J$99,7,FALSE),"")</f>
        <v/>
      </c>
      <c r="D75" s="98"/>
      <c r="E75" s="128" t="str">
        <f>IFERROR(VLOOKUP(F75,Tabela2[[Descrição]:[ID. Risco]],2,FALSE),"")</f>
        <v/>
      </c>
      <c r="F75" s="97"/>
      <c r="G75" s="107" t="str">
        <f t="shared" si="4"/>
        <v/>
      </c>
      <c r="H75" s="99"/>
      <c r="I75" s="188"/>
      <c r="J75" s="100"/>
      <c r="K75" s="129" t="str">
        <f>IFERROR(VLOOKUP(J75,'04.Lista Riscos,Classificação'!$O$6:$Q$10,3,FALSE),"")</f>
        <v/>
      </c>
      <c r="L75" s="100"/>
      <c r="M75" s="129" t="str">
        <f>IFERROR(VLOOKUP(L75,'04.Lista Riscos,Classificação'!$O$13:$Q$18,3,FALSE),"")</f>
        <v/>
      </c>
      <c r="N75" s="130" t="str">
        <f t="shared" si="5"/>
        <v/>
      </c>
      <c r="O75" s="130" t="str">
        <f>IFERROR(VLOOKUP(N75,'04.Lista Riscos,Classificação'!$AS$4:$AT$28,2,FALSE),"")</f>
        <v/>
      </c>
      <c r="P75" s="132" t="str">
        <f>IFERROR(VLOOKUP(O75,'04.Lista Riscos,Classificação'!$AT$4:$AV$28,3,FALSE),"")</f>
        <v/>
      </c>
      <c r="Q75" s="101"/>
      <c r="R75" s="131" t="str">
        <f>IFERROR(VLOOKUP(O75,'04.Lista Riscos,Classificação'!$AZ$4:$BA$7,2,FALSE),"")</f>
        <v/>
      </c>
      <c r="S75" s="106"/>
      <c r="T75" s="185"/>
      <c r="U75" s="165" t="str">
        <f>IFERROR(VLOOKUP(T75,'04.Lista Riscos,Classificação'!$O$22:$Q$26,3,FALSE),"")</f>
        <v/>
      </c>
      <c r="V75" s="130" t="str">
        <f t="shared" si="6"/>
        <v/>
      </c>
      <c r="W75" s="130" t="str">
        <f>IFERROR(VLOOKUP(V75,'04.Lista Riscos,Classificação'!$AS$4:$AV$28,2,FALSE),"")</f>
        <v/>
      </c>
      <c r="X75" s="101"/>
      <c r="Y75" s="195"/>
    </row>
    <row r="76" spans="2:25" ht="54" customHeight="1">
      <c r="B76" s="148" t="str">
        <f>IFERROR(VLOOKUP(D76,'03.Inventário de Ativos'!$D$4:$E$866,2,FALSE),"")</f>
        <v/>
      </c>
      <c r="C76" s="148" t="str">
        <f>IFERROR(VLOOKUP(D76,'03.Inventário de Ativos'!$D$4:$J$99,7,FALSE),"")</f>
        <v/>
      </c>
      <c r="D76" s="98"/>
      <c r="E76" s="128" t="str">
        <f>IFERROR(VLOOKUP(F76,Tabela2[[Descrição]:[ID. Risco]],2,FALSE),"")</f>
        <v/>
      </c>
      <c r="F76" s="97"/>
      <c r="G76" s="107" t="str">
        <f t="shared" si="4"/>
        <v/>
      </c>
      <c r="H76" s="99"/>
      <c r="I76" s="188"/>
      <c r="J76" s="100"/>
      <c r="K76" s="129" t="str">
        <f>IFERROR(VLOOKUP(J76,'04.Lista Riscos,Classificação'!$O$6:$Q$10,3,FALSE),"")</f>
        <v/>
      </c>
      <c r="L76" s="100"/>
      <c r="M76" s="129" t="str">
        <f>IFERROR(VLOOKUP(L76,'04.Lista Riscos,Classificação'!$O$13:$Q$18,3,FALSE),"")</f>
        <v/>
      </c>
      <c r="N76" s="130" t="str">
        <f t="shared" si="5"/>
        <v/>
      </c>
      <c r="O76" s="130" t="str">
        <f>IFERROR(VLOOKUP(N76,'04.Lista Riscos,Classificação'!$AS$4:$AT$28,2,FALSE),"")</f>
        <v/>
      </c>
      <c r="P76" s="132" t="str">
        <f>IFERROR(VLOOKUP(O76,'04.Lista Riscos,Classificação'!$AT$4:$AV$28,3,FALSE),"")</f>
        <v/>
      </c>
      <c r="Q76" s="101"/>
      <c r="R76" s="131" t="str">
        <f>IFERROR(VLOOKUP(O76,'04.Lista Riscos,Classificação'!$AZ$4:$BA$7,2,FALSE),"")</f>
        <v/>
      </c>
      <c r="S76" s="106"/>
      <c r="T76" s="185"/>
      <c r="U76" s="165" t="str">
        <f>IFERROR(VLOOKUP(T76,'04.Lista Riscos,Classificação'!$O$22:$Q$26,3,FALSE),"")</f>
        <v/>
      </c>
      <c r="V76" s="130" t="str">
        <f t="shared" si="6"/>
        <v/>
      </c>
      <c r="W76" s="130" t="str">
        <f>IFERROR(VLOOKUP(V76,'04.Lista Riscos,Classificação'!$AS$4:$AV$28,2,FALSE),"")</f>
        <v/>
      </c>
      <c r="X76" s="101"/>
      <c r="Y76" s="195"/>
    </row>
    <row r="77" spans="2:25" ht="54" customHeight="1">
      <c r="B77" s="148" t="str">
        <f>IFERROR(VLOOKUP(D77,'03.Inventário de Ativos'!$D$4:$E$866,2,FALSE),"")</f>
        <v/>
      </c>
      <c r="C77" s="148" t="str">
        <f>IFERROR(VLOOKUP(D77,'03.Inventário de Ativos'!$D$4:$J$99,7,FALSE),"")</f>
        <v/>
      </c>
      <c r="D77" s="98"/>
      <c r="E77" s="128" t="str">
        <f>IFERROR(VLOOKUP(F77,Tabela2[[Descrição]:[ID. Risco]],2,FALSE),"")</f>
        <v/>
      </c>
      <c r="F77" s="97"/>
      <c r="G77" s="107" t="str">
        <f t="shared" si="4"/>
        <v/>
      </c>
      <c r="H77" s="99"/>
      <c r="I77" s="188"/>
      <c r="J77" s="100"/>
      <c r="K77" s="129" t="str">
        <f>IFERROR(VLOOKUP(J77,'04.Lista Riscos,Classificação'!$O$6:$Q$10,3,FALSE),"")</f>
        <v/>
      </c>
      <c r="L77" s="100"/>
      <c r="M77" s="129" t="str">
        <f>IFERROR(VLOOKUP(L77,'04.Lista Riscos,Classificação'!$O$13:$Q$18,3,FALSE),"")</f>
        <v/>
      </c>
      <c r="N77" s="130" t="str">
        <f t="shared" si="5"/>
        <v/>
      </c>
      <c r="O77" s="130" t="str">
        <f>IFERROR(VLOOKUP(N77,'04.Lista Riscos,Classificação'!$AS$4:$AT$28,2,FALSE),"")</f>
        <v/>
      </c>
      <c r="P77" s="132" t="str">
        <f>IFERROR(VLOOKUP(O77,'04.Lista Riscos,Classificação'!$AT$4:$AV$28,3,FALSE),"")</f>
        <v/>
      </c>
      <c r="Q77" s="101"/>
      <c r="R77" s="131" t="str">
        <f>IFERROR(VLOOKUP(O77,'04.Lista Riscos,Classificação'!$AZ$4:$BA$7,2,FALSE),"")</f>
        <v/>
      </c>
      <c r="S77" s="106"/>
      <c r="T77" s="185"/>
      <c r="U77" s="165" t="str">
        <f>IFERROR(VLOOKUP(T77,'04.Lista Riscos,Classificação'!$O$22:$Q$26,3,FALSE),"")</f>
        <v/>
      </c>
      <c r="V77" s="130" t="str">
        <f t="shared" si="6"/>
        <v/>
      </c>
      <c r="W77" s="130" t="str">
        <f>IFERROR(VLOOKUP(V77,'04.Lista Riscos,Classificação'!$AS$4:$AV$28,2,FALSE),"")</f>
        <v/>
      </c>
      <c r="X77" s="101"/>
      <c r="Y77" s="195"/>
    </row>
    <row r="78" spans="2:25" ht="54" customHeight="1">
      <c r="B78" s="148" t="str">
        <f>IFERROR(VLOOKUP(D78,'03.Inventário de Ativos'!$D$4:$E$866,2,FALSE),"")</f>
        <v/>
      </c>
      <c r="C78" s="148" t="str">
        <f>IFERROR(VLOOKUP(D78,'03.Inventário de Ativos'!$D$4:$J$99,7,FALSE),"")</f>
        <v/>
      </c>
      <c r="D78" s="98"/>
      <c r="E78" s="128" t="str">
        <f>IFERROR(VLOOKUP(F78,Tabela2[[Descrição]:[ID. Risco]],2,FALSE),"")</f>
        <v/>
      </c>
      <c r="F78" s="97"/>
      <c r="G78" s="107" t="str">
        <f t="shared" si="4"/>
        <v/>
      </c>
      <c r="H78" s="99"/>
      <c r="I78" s="188"/>
      <c r="J78" s="100"/>
      <c r="K78" s="129" t="str">
        <f>IFERROR(VLOOKUP(J78,'04.Lista Riscos,Classificação'!$O$6:$Q$10,3,FALSE),"")</f>
        <v/>
      </c>
      <c r="L78" s="100"/>
      <c r="M78" s="129" t="str">
        <f>IFERROR(VLOOKUP(L78,'04.Lista Riscos,Classificação'!$O$13:$Q$18,3,FALSE),"")</f>
        <v/>
      </c>
      <c r="N78" s="130" t="str">
        <f t="shared" si="5"/>
        <v/>
      </c>
      <c r="O78" s="130" t="str">
        <f>IFERROR(VLOOKUP(N78,'04.Lista Riscos,Classificação'!$AS$4:$AT$28,2,FALSE),"")</f>
        <v/>
      </c>
      <c r="P78" s="132" t="str">
        <f>IFERROR(VLOOKUP(O78,'04.Lista Riscos,Classificação'!$AT$4:$AV$28,3,FALSE),"")</f>
        <v/>
      </c>
      <c r="Q78" s="101"/>
      <c r="R78" s="131" t="str">
        <f>IFERROR(VLOOKUP(O78,'04.Lista Riscos,Classificação'!$AZ$4:$BA$7,2,FALSE),"")</f>
        <v/>
      </c>
      <c r="S78" s="106"/>
      <c r="T78" s="185"/>
      <c r="U78" s="165" t="str">
        <f>IFERROR(VLOOKUP(T78,'04.Lista Riscos,Classificação'!$O$22:$Q$26,3,FALSE),"")</f>
        <v/>
      </c>
      <c r="V78" s="130" t="str">
        <f t="shared" si="6"/>
        <v/>
      </c>
      <c r="W78" s="130" t="str">
        <f>IFERROR(VLOOKUP(V78,'04.Lista Riscos,Classificação'!$AS$4:$AV$28,2,FALSE),"")</f>
        <v/>
      </c>
      <c r="X78" s="101"/>
      <c r="Y78" s="195"/>
    </row>
    <row r="79" spans="2:25" ht="54" customHeight="1">
      <c r="B79" s="148" t="str">
        <f>IFERROR(VLOOKUP(D79,'03.Inventário de Ativos'!$D$4:$E$866,2,FALSE),"")</f>
        <v/>
      </c>
      <c r="C79" s="148" t="str">
        <f>IFERROR(VLOOKUP(D79,'03.Inventário de Ativos'!$D$4:$J$99,7,FALSE),"")</f>
        <v/>
      </c>
      <c r="D79" s="98"/>
      <c r="E79" s="128" t="str">
        <f>IFERROR(VLOOKUP(F79,Tabela2[[Descrição]:[ID. Risco]],2,FALSE),"")</f>
        <v/>
      </c>
      <c r="F79" s="97"/>
      <c r="G79" s="107" t="str">
        <f t="shared" si="4"/>
        <v/>
      </c>
      <c r="H79" s="99"/>
      <c r="I79" s="188"/>
      <c r="J79" s="100"/>
      <c r="K79" s="129" t="str">
        <f>IFERROR(VLOOKUP(J79,'04.Lista Riscos,Classificação'!$O$6:$Q$10,3,FALSE),"")</f>
        <v/>
      </c>
      <c r="L79" s="100"/>
      <c r="M79" s="129" t="str">
        <f>IFERROR(VLOOKUP(L79,'04.Lista Riscos,Classificação'!$O$13:$Q$18,3,FALSE),"")</f>
        <v/>
      </c>
      <c r="N79" s="130" t="str">
        <f t="shared" si="5"/>
        <v/>
      </c>
      <c r="O79" s="130" t="str">
        <f>IFERROR(VLOOKUP(N79,'04.Lista Riscos,Classificação'!$AS$4:$AT$28,2,FALSE),"")</f>
        <v/>
      </c>
      <c r="P79" s="132" t="str">
        <f>IFERROR(VLOOKUP(O79,'04.Lista Riscos,Classificação'!$AT$4:$AV$28,3,FALSE),"")</f>
        <v/>
      </c>
      <c r="Q79" s="101"/>
      <c r="R79" s="131" t="str">
        <f>IFERROR(VLOOKUP(O79,'04.Lista Riscos,Classificação'!$AZ$4:$BA$7,2,FALSE),"")</f>
        <v/>
      </c>
      <c r="S79" s="106"/>
      <c r="T79" s="185"/>
      <c r="U79" s="165" t="str">
        <f>IFERROR(VLOOKUP(T79,'04.Lista Riscos,Classificação'!$O$22:$Q$26,3,FALSE),"")</f>
        <v/>
      </c>
      <c r="V79" s="130" t="str">
        <f t="shared" si="6"/>
        <v/>
      </c>
      <c r="W79" s="130" t="str">
        <f>IFERROR(VLOOKUP(V79,'04.Lista Riscos,Classificação'!$AS$4:$AV$28,2,FALSE),"")</f>
        <v/>
      </c>
      <c r="X79" s="101"/>
      <c r="Y79" s="195"/>
    </row>
    <row r="80" spans="2:25" ht="54" customHeight="1">
      <c r="B80" s="148" t="str">
        <f>IFERROR(VLOOKUP(D80,'03.Inventário de Ativos'!$D$4:$E$866,2,FALSE),"")</f>
        <v/>
      </c>
      <c r="C80" s="148" t="str">
        <f>IFERROR(VLOOKUP(D80,'03.Inventário de Ativos'!$D$4:$J$99,7,FALSE),"")</f>
        <v/>
      </c>
      <c r="D80" s="98"/>
      <c r="E80" s="128" t="str">
        <f>IFERROR(VLOOKUP(F80,Tabela2[[Descrição]:[ID. Risco]],2,FALSE),"")</f>
        <v/>
      </c>
      <c r="F80" s="97"/>
      <c r="G80" s="107" t="str">
        <f t="shared" si="4"/>
        <v/>
      </c>
      <c r="H80" s="99"/>
      <c r="I80" s="188"/>
      <c r="J80" s="100"/>
      <c r="K80" s="129" t="str">
        <f>IFERROR(VLOOKUP(J80,'04.Lista Riscos,Classificação'!$O$6:$Q$10,3,FALSE),"")</f>
        <v/>
      </c>
      <c r="L80" s="100"/>
      <c r="M80" s="129" t="str">
        <f>IFERROR(VLOOKUP(L80,'04.Lista Riscos,Classificação'!$O$13:$Q$18,3,FALSE),"")</f>
        <v/>
      </c>
      <c r="N80" s="130" t="str">
        <f t="shared" si="5"/>
        <v/>
      </c>
      <c r="O80" s="130" t="str">
        <f>IFERROR(VLOOKUP(N80,'04.Lista Riscos,Classificação'!$AS$4:$AT$28,2,FALSE),"")</f>
        <v/>
      </c>
      <c r="P80" s="132" t="str">
        <f>IFERROR(VLOOKUP(O80,'04.Lista Riscos,Classificação'!$AT$4:$AV$28,3,FALSE),"")</f>
        <v/>
      </c>
      <c r="Q80" s="101"/>
      <c r="R80" s="131" t="str">
        <f>IFERROR(VLOOKUP(O80,'04.Lista Riscos,Classificação'!$AZ$4:$BA$7,2,FALSE),"")</f>
        <v/>
      </c>
      <c r="S80" s="106"/>
      <c r="T80" s="185"/>
      <c r="U80" s="165" t="str">
        <f>IFERROR(VLOOKUP(T80,'04.Lista Riscos,Classificação'!$O$22:$Q$26,3,FALSE),"")</f>
        <v/>
      </c>
      <c r="V80" s="130" t="str">
        <f t="shared" si="6"/>
        <v/>
      </c>
      <c r="W80" s="130" t="str">
        <f>IFERROR(VLOOKUP(V80,'04.Lista Riscos,Classificação'!$AS$4:$AV$28,2,FALSE),"")</f>
        <v/>
      </c>
      <c r="X80" s="101"/>
      <c r="Y80" s="195"/>
    </row>
    <row r="81" spans="2:25" ht="54" customHeight="1">
      <c r="B81" s="148" t="str">
        <f>IFERROR(VLOOKUP(D81,'03.Inventário de Ativos'!$D$4:$E$866,2,FALSE),"")</f>
        <v/>
      </c>
      <c r="C81" s="148" t="str">
        <f>IFERROR(VLOOKUP(D81,'03.Inventário de Ativos'!$D$4:$J$99,7,FALSE),"")</f>
        <v/>
      </c>
      <c r="D81" s="98"/>
      <c r="E81" s="128" t="str">
        <f>IFERROR(VLOOKUP(F81,Tabela2[[Descrição]:[ID. Risco]],2,FALSE),"")</f>
        <v/>
      </c>
      <c r="F81" s="97"/>
      <c r="G81" s="107" t="str">
        <f t="shared" si="4"/>
        <v/>
      </c>
      <c r="H81" s="99"/>
      <c r="I81" s="188"/>
      <c r="J81" s="100"/>
      <c r="K81" s="129" t="str">
        <f>IFERROR(VLOOKUP(J81,'04.Lista Riscos,Classificação'!$O$6:$Q$10,3,FALSE),"")</f>
        <v/>
      </c>
      <c r="L81" s="100"/>
      <c r="M81" s="129" t="str">
        <f>IFERROR(VLOOKUP(L81,'04.Lista Riscos,Classificação'!$O$13:$Q$18,3,FALSE),"")</f>
        <v/>
      </c>
      <c r="N81" s="130" t="str">
        <f t="shared" si="5"/>
        <v/>
      </c>
      <c r="O81" s="130" t="str">
        <f>IFERROR(VLOOKUP(N81,'04.Lista Riscos,Classificação'!$AS$4:$AT$28,2,FALSE),"")</f>
        <v/>
      </c>
      <c r="P81" s="132" t="str">
        <f>IFERROR(VLOOKUP(O81,'04.Lista Riscos,Classificação'!$AT$4:$AV$28,3,FALSE),"")</f>
        <v/>
      </c>
      <c r="Q81" s="101"/>
      <c r="R81" s="131" t="str">
        <f>IFERROR(VLOOKUP(O81,'04.Lista Riscos,Classificação'!$AZ$4:$BA$7,2,FALSE),"")</f>
        <v/>
      </c>
      <c r="S81" s="106"/>
      <c r="T81" s="185"/>
      <c r="U81" s="165" t="str">
        <f>IFERROR(VLOOKUP(T81,'04.Lista Riscos,Classificação'!$O$22:$Q$26,3,FALSE),"")</f>
        <v/>
      </c>
      <c r="V81" s="130" t="str">
        <f t="shared" si="6"/>
        <v/>
      </c>
      <c r="W81" s="130" t="str">
        <f>IFERROR(VLOOKUP(V81,'04.Lista Riscos,Classificação'!$AS$4:$AV$28,2,FALSE),"")</f>
        <v/>
      </c>
      <c r="X81" s="101"/>
      <c r="Y81" s="195"/>
    </row>
    <row r="82" spans="2:25" ht="54" customHeight="1">
      <c r="B82" s="148" t="str">
        <f>IFERROR(VLOOKUP(D82,'03.Inventário de Ativos'!$D$4:$E$866,2,FALSE),"")</f>
        <v/>
      </c>
      <c r="C82" s="148" t="str">
        <f>IFERROR(VLOOKUP(D82,'03.Inventário de Ativos'!$D$4:$J$99,7,FALSE),"")</f>
        <v/>
      </c>
      <c r="D82" s="98"/>
      <c r="E82" s="128" t="str">
        <f>IFERROR(VLOOKUP(F82,Tabela2[[Descrição]:[ID. Risco]],2,FALSE),"")</f>
        <v/>
      </c>
      <c r="F82" s="97"/>
      <c r="G82" s="107" t="str">
        <f t="shared" si="4"/>
        <v/>
      </c>
      <c r="H82" s="99"/>
      <c r="I82" s="188"/>
      <c r="J82" s="100"/>
      <c r="K82" s="129" t="str">
        <f>IFERROR(VLOOKUP(J82,'04.Lista Riscos,Classificação'!$O$6:$Q$10,3,FALSE),"")</f>
        <v/>
      </c>
      <c r="L82" s="100"/>
      <c r="M82" s="129" t="str">
        <f>IFERROR(VLOOKUP(L82,'04.Lista Riscos,Classificação'!$O$13:$Q$18,3,FALSE),"")</f>
        <v/>
      </c>
      <c r="N82" s="130" t="str">
        <f t="shared" si="5"/>
        <v/>
      </c>
      <c r="O82" s="130" t="str">
        <f>IFERROR(VLOOKUP(N82,'04.Lista Riscos,Classificação'!$AS$4:$AT$28,2,FALSE),"")</f>
        <v/>
      </c>
      <c r="P82" s="132" t="str">
        <f>IFERROR(VLOOKUP(O82,'04.Lista Riscos,Classificação'!$AT$4:$AV$28,3,FALSE),"")</f>
        <v/>
      </c>
      <c r="Q82" s="101"/>
      <c r="R82" s="131" t="str">
        <f>IFERROR(VLOOKUP(O82,'04.Lista Riscos,Classificação'!$AZ$4:$BA$7,2,FALSE),"")</f>
        <v/>
      </c>
      <c r="S82" s="106"/>
      <c r="T82" s="185"/>
      <c r="U82" s="165" t="str">
        <f>IFERROR(VLOOKUP(T82,'04.Lista Riscos,Classificação'!$O$22:$Q$26,3,FALSE),"")</f>
        <v/>
      </c>
      <c r="V82" s="130" t="str">
        <f t="shared" si="6"/>
        <v/>
      </c>
      <c r="W82" s="130" t="str">
        <f>IFERROR(VLOOKUP(V82,'04.Lista Riscos,Classificação'!$AS$4:$AV$28,2,FALSE),"")</f>
        <v/>
      </c>
      <c r="X82" s="101"/>
      <c r="Y82" s="195"/>
    </row>
    <row r="83" spans="2:25" ht="54" customHeight="1">
      <c r="B83" s="148" t="str">
        <f>IFERROR(VLOOKUP(D83,'03.Inventário de Ativos'!$D$4:$E$866,2,FALSE),"")</f>
        <v/>
      </c>
      <c r="C83" s="148" t="str">
        <f>IFERROR(VLOOKUP(D83,'03.Inventário de Ativos'!$D$4:$J$99,7,FALSE),"")</f>
        <v/>
      </c>
      <c r="D83" s="98"/>
      <c r="E83" s="128" t="str">
        <f>IFERROR(VLOOKUP(F83,Tabela2[[Descrição]:[ID. Risco]],2,FALSE),"")</f>
        <v/>
      </c>
      <c r="F83" s="97"/>
      <c r="G83" s="107" t="str">
        <f t="shared" si="4"/>
        <v/>
      </c>
      <c r="H83" s="99"/>
      <c r="I83" s="188"/>
      <c r="J83" s="100"/>
      <c r="K83" s="129" t="str">
        <f>IFERROR(VLOOKUP(J83,'04.Lista Riscos,Classificação'!$O$6:$Q$10,3,FALSE),"")</f>
        <v/>
      </c>
      <c r="L83" s="100"/>
      <c r="M83" s="129" t="str">
        <f>IFERROR(VLOOKUP(L83,'04.Lista Riscos,Classificação'!$O$13:$Q$18,3,FALSE),"")</f>
        <v/>
      </c>
      <c r="N83" s="130" t="str">
        <f t="shared" si="5"/>
        <v/>
      </c>
      <c r="O83" s="130" t="str">
        <f>IFERROR(VLOOKUP(N83,'04.Lista Riscos,Classificação'!$AS$4:$AT$28,2,FALSE),"")</f>
        <v/>
      </c>
      <c r="P83" s="132" t="str">
        <f>IFERROR(VLOOKUP(O83,'04.Lista Riscos,Classificação'!$AT$4:$AV$28,3,FALSE),"")</f>
        <v/>
      </c>
      <c r="Q83" s="101"/>
      <c r="R83" s="131" t="str">
        <f>IFERROR(VLOOKUP(O83,'04.Lista Riscos,Classificação'!$AZ$4:$BA$7,2,FALSE),"")</f>
        <v/>
      </c>
      <c r="S83" s="106"/>
      <c r="T83" s="185"/>
      <c r="U83" s="165" t="str">
        <f>IFERROR(VLOOKUP(T83,'04.Lista Riscos,Classificação'!$O$22:$Q$26,3,FALSE),"")</f>
        <v/>
      </c>
      <c r="V83" s="130" t="str">
        <f t="shared" si="6"/>
        <v/>
      </c>
      <c r="W83" s="130" t="str">
        <f>IFERROR(VLOOKUP(V83,'04.Lista Riscos,Classificação'!$AS$4:$AV$28,2,FALSE),"")</f>
        <v/>
      </c>
      <c r="X83" s="101"/>
      <c r="Y83" s="195"/>
    </row>
    <row r="84" spans="2:25" ht="54" customHeight="1">
      <c r="B84" s="148" t="str">
        <f>IFERROR(VLOOKUP(D84,'03.Inventário de Ativos'!$D$4:$E$866,2,FALSE),"")</f>
        <v/>
      </c>
      <c r="C84" s="148" t="str">
        <f>IFERROR(VLOOKUP(D84,'03.Inventário de Ativos'!$D$4:$J$99,7,FALSE),"")</f>
        <v/>
      </c>
      <c r="D84" s="98"/>
      <c r="E84" s="128" t="str">
        <f>IFERROR(VLOOKUP(F84,Tabela2[[Descrição]:[ID. Risco]],2,FALSE),"")</f>
        <v/>
      </c>
      <c r="F84" s="97"/>
      <c r="G84" s="107" t="str">
        <f t="shared" si="4"/>
        <v/>
      </c>
      <c r="H84" s="99"/>
      <c r="I84" s="188"/>
      <c r="J84" s="100"/>
      <c r="K84" s="129" t="str">
        <f>IFERROR(VLOOKUP(J84,'04.Lista Riscos,Classificação'!$O$6:$Q$10,3,FALSE),"")</f>
        <v/>
      </c>
      <c r="L84" s="100"/>
      <c r="M84" s="129" t="str">
        <f>IFERROR(VLOOKUP(L84,'04.Lista Riscos,Classificação'!$O$13:$Q$18,3,FALSE),"")</f>
        <v/>
      </c>
      <c r="N84" s="130" t="str">
        <f t="shared" si="5"/>
        <v/>
      </c>
      <c r="O84" s="130" t="str">
        <f>IFERROR(VLOOKUP(N84,'04.Lista Riscos,Classificação'!$AS$4:$AT$28,2,FALSE),"")</f>
        <v/>
      </c>
      <c r="P84" s="132" t="str">
        <f>IFERROR(VLOOKUP(O84,'04.Lista Riscos,Classificação'!$AT$4:$AV$28,3,FALSE),"")</f>
        <v/>
      </c>
      <c r="Q84" s="101"/>
      <c r="R84" s="131" t="str">
        <f>IFERROR(VLOOKUP(O84,'04.Lista Riscos,Classificação'!$AZ$4:$BA$7,2,FALSE),"")</f>
        <v/>
      </c>
      <c r="S84" s="106"/>
      <c r="T84" s="185"/>
      <c r="U84" s="165" t="str">
        <f>IFERROR(VLOOKUP(T84,'04.Lista Riscos,Classificação'!$O$22:$Q$26,3,FALSE),"")</f>
        <v/>
      </c>
      <c r="V84" s="130" t="str">
        <f t="shared" si="6"/>
        <v/>
      </c>
      <c r="W84" s="130" t="str">
        <f>IFERROR(VLOOKUP(V84,'04.Lista Riscos,Classificação'!$AS$4:$AV$28,2,FALSE),"")</f>
        <v/>
      </c>
      <c r="X84" s="101"/>
      <c r="Y84" s="195"/>
    </row>
    <row r="85" spans="2:25" ht="54" customHeight="1">
      <c r="B85" s="148" t="str">
        <f>IFERROR(VLOOKUP(D85,'03.Inventário de Ativos'!$D$4:$E$866,2,FALSE),"")</f>
        <v/>
      </c>
      <c r="C85" s="148" t="str">
        <f>IFERROR(VLOOKUP(D85,'03.Inventário de Ativos'!$D$4:$J$99,7,FALSE),"")</f>
        <v/>
      </c>
      <c r="D85" s="98"/>
      <c r="E85" s="128" t="str">
        <f>IFERROR(VLOOKUP(F85,Tabela2[[Descrição]:[ID. Risco]],2,FALSE),"")</f>
        <v/>
      </c>
      <c r="F85" s="97"/>
      <c r="G85" s="107" t="str">
        <f t="shared" si="4"/>
        <v/>
      </c>
      <c r="H85" s="99"/>
      <c r="I85" s="188"/>
      <c r="J85" s="100"/>
      <c r="K85" s="129" t="str">
        <f>IFERROR(VLOOKUP(J85,'04.Lista Riscos,Classificação'!$O$6:$Q$10,3,FALSE),"")</f>
        <v/>
      </c>
      <c r="L85" s="100"/>
      <c r="M85" s="129" t="str">
        <f>IFERROR(VLOOKUP(L85,'04.Lista Riscos,Classificação'!$O$13:$Q$18,3,FALSE),"")</f>
        <v/>
      </c>
      <c r="N85" s="130" t="str">
        <f t="shared" si="5"/>
        <v/>
      </c>
      <c r="O85" s="130" t="str">
        <f>IFERROR(VLOOKUP(N85,'04.Lista Riscos,Classificação'!$AS$4:$AT$28,2,FALSE),"")</f>
        <v/>
      </c>
      <c r="P85" s="132" t="str">
        <f>IFERROR(VLOOKUP(O85,'04.Lista Riscos,Classificação'!$AT$4:$AV$28,3,FALSE),"")</f>
        <v/>
      </c>
      <c r="Q85" s="101"/>
      <c r="R85" s="131" t="str">
        <f>IFERROR(VLOOKUP(O85,'04.Lista Riscos,Classificação'!$AZ$4:$BA$7,2,FALSE),"")</f>
        <v/>
      </c>
      <c r="S85" s="106"/>
      <c r="T85" s="185"/>
      <c r="U85" s="165" t="str">
        <f>IFERROR(VLOOKUP(T85,'04.Lista Riscos,Classificação'!$O$22:$Q$26,3,FALSE),"")</f>
        <v/>
      </c>
      <c r="V85" s="130" t="str">
        <f t="shared" si="6"/>
        <v/>
      </c>
      <c r="W85" s="130" t="str">
        <f>IFERROR(VLOOKUP(V85,'04.Lista Riscos,Classificação'!$AS$4:$AV$28,2,FALSE),"")</f>
        <v/>
      </c>
      <c r="X85" s="101"/>
      <c r="Y85" s="195"/>
    </row>
    <row r="86" spans="2:25" ht="54" customHeight="1">
      <c r="B86" s="148" t="str">
        <f>IFERROR(VLOOKUP(D86,'03.Inventário de Ativos'!$D$4:$E$866,2,FALSE),"")</f>
        <v/>
      </c>
      <c r="C86" s="148" t="str">
        <f>IFERROR(VLOOKUP(D86,'03.Inventário de Ativos'!$D$4:$J$99,7,FALSE),"")</f>
        <v/>
      </c>
      <c r="D86" s="98"/>
      <c r="E86" s="128" t="str">
        <f>IFERROR(VLOOKUP(F86,Tabela2[[Descrição]:[ID. Risco]],2,FALSE),"")</f>
        <v/>
      </c>
      <c r="F86" s="97"/>
      <c r="G86" s="107" t="str">
        <f t="shared" si="4"/>
        <v/>
      </c>
      <c r="H86" s="99"/>
      <c r="I86" s="188"/>
      <c r="J86" s="100"/>
      <c r="K86" s="129" t="str">
        <f>IFERROR(VLOOKUP(J86,'04.Lista Riscos,Classificação'!$O$6:$Q$10,3,FALSE),"")</f>
        <v/>
      </c>
      <c r="L86" s="100"/>
      <c r="M86" s="129" t="str">
        <f>IFERROR(VLOOKUP(L86,'04.Lista Riscos,Classificação'!$O$13:$Q$18,3,FALSE),"")</f>
        <v/>
      </c>
      <c r="N86" s="130" t="str">
        <f t="shared" si="5"/>
        <v/>
      </c>
      <c r="O86" s="130" t="str">
        <f>IFERROR(VLOOKUP(N86,'04.Lista Riscos,Classificação'!$AS$4:$AT$28,2,FALSE),"")</f>
        <v/>
      </c>
      <c r="P86" s="132" t="str">
        <f>IFERROR(VLOOKUP(O86,'04.Lista Riscos,Classificação'!$AT$4:$AV$28,3,FALSE),"")</f>
        <v/>
      </c>
      <c r="Q86" s="101"/>
      <c r="R86" s="131" t="str">
        <f>IFERROR(VLOOKUP(O86,'04.Lista Riscos,Classificação'!$AZ$4:$BA$7,2,FALSE),"")</f>
        <v/>
      </c>
      <c r="S86" s="106"/>
      <c r="T86" s="185"/>
      <c r="U86" s="165" t="str">
        <f>IFERROR(VLOOKUP(T86,'04.Lista Riscos,Classificação'!$O$22:$Q$26,3,FALSE),"")</f>
        <v/>
      </c>
      <c r="V86" s="130" t="str">
        <f t="shared" si="6"/>
        <v/>
      </c>
      <c r="W86" s="130" t="str">
        <f>IFERROR(VLOOKUP(V86,'04.Lista Riscos,Classificação'!$AS$4:$AV$28,2,FALSE),"")</f>
        <v/>
      </c>
      <c r="X86" s="101"/>
      <c r="Y86" s="195"/>
    </row>
    <row r="87" spans="2:25" ht="54" customHeight="1">
      <c r="B87" s="148" t="str">
        <f>IFERROR(VLOOKUP(D87,'03.Inventário de Ativos'!$D$4:$E$866,2,FALSE),"")</f>
        <v/>
      </c>
      <c r="C87" s="148" t="str">
        <f>IFERROR(VLOOKUP(D87,'03.Inventário de Ativos'!$D$4:$J$99,7,FALSE),"")</f>
        <v/>
      </c>
      <c r="D87" s="98"/>
      <c r="E87" s="128" t="str">
        <f>IFERROR(VLOOKUP(F87,Tabela2[[Descrição]:[ID. Risco]],2,FALSE),"")</f>
        <v/>
      </c>
      <c r="F87" s="97"/>
      <c r="G87" s="107" t="str">
        <f t="shared" si="4"/>
        <v/>
      </c>
      <c r="H87" s="99"/>
      <c r="I87" s="188"/>
      <c r="J87" s="100"/>
      <c r="K87" s="129" t="str">
        <f>IFERROR(VLOOKUP(J87,'04.Lista Riscos,Classificação'!$O$6:$Q$10,3,FALSE),"")</f>
        <v/>
      </c>
      <c r="L87" s="100"/>
      <c r="M87" s="129" t="str">
        <f>IFERROR(VLOOKUP(L87,'04.Lista Riscos,Classificação'!$O$13:$Q$18,3,FALSE),"")</f>
        <v/>
      </c>
      <c r="N87" s="130" t="str">
        <f t="shared" si="5"/>
        <v/>
      </c>
      <c r="O87" s="130" t="str">
        <f>IFERROR(VLOOKUP(N87,'04.Lista Riscos,Classificação'!$AS$4:$AT$28,2,FALSE),"")</f>
        <v/>
      </c>
      <c r="P87" s="132" t="str">
        <f>IFERROR(VLOOKUP(O87,'04.Lista Riscos,Classificação'!$AT$4:$AV$28,3,FALSE),"")</f>
        <v/>
      </c>
      <c r="Q87" s="101"/>
      <c r="R87" s="131" t="str">
        <f>IFERROR(VLOOKUP(O87,'04.Lista Riscos,Classificação'!$AZ$4:$BA$7,2,FALSE),"")</f>
        <v/>
      </c>
      <c r="S87" s="106"/>
      <c r="T87" s="185"/>
      <c r="U87" s="165" t="str">
        <f>IFERROR(VLOOKUP(T87,'04.Lista Riscos,Classificação'!$O$22:$Q$26,3,FALSE),"")</f>
        <v/>
      </c>
      <c r="V87" s="130" t="str">
        <f t="shared" si="6"/>
        <v/>
      </c>
      <c r="W87" s="130" t="str">
        <f>IFERROR(VLOOKUP(V87,'04.Lista Riscos,Classificação'!$AS$4:$AV$28,2,FALSE),"")</f>
        <v/>
      </c>
      <c r="X87" s="101"/>
      <c r="Y87" s="195"/>
    </row>
    <row r="88" spans="2:25" ht="54" customHeight="1">
      <c r="B88" s="148" t="str">
        <f>IFERROR(VLOOKUP(D88,'03.Inventário de Ativos'!$D$4:$E$866,2,FALSE),"")</f>
        <v/>
      </c>
      <c r="C88" s="148" t="str">
        <f>IFERROR(VLOOKUP(D88,'03.Inventário de Ativos'!$D$4:$J$99,7,FALSE),"")</f>
        <v/>
      </c>
      <c r="D88" s="98"/>
      <c r="E88" s="128" t="str">
        <f>IFERROR(VLOOKUP(F88,Tabela2[[Descrição]:[ID. Risco]],2,FALSE),"")</f>
        <v/>
      </c>
      <c r="F88" s="97"/>
      <c r="G88" s="107" t="str">
        <f t="shared" si="4"/>
        <v/>
      </c>
      <c r="H88" s="99"/>
      <c r="I88" s="188"/>
      <c r="J88" s="100"/>
      <c r="K88" s="129" t="str">
        <f>IFERROR(VLOOKUP(J88,'04.Lista Riscos,Classificação'!$O$6:$Q$10,3,FALSE),"")</f>
        <v/>
      </c>
      <c r="L88" s="100"/>
      <c r="M88" s="129" t="str">
        <f>IFERROR(VLOOKUP(L88,'04.Lista Riscos,Classificação'!$O$13:$Q$18,3,FALSE),"")</f>
        <v/>
      </c>
      <c r="N88" s="130" t="str">
        <f t="shared" si="5"/>
        <v/>
      </c>
      <c r="O88" s="130" t="str">
        <f>IFERROR(VLOOKUP(N88,'04.Lista Riscos,Classificação'!$AS$4:$AT$28,2,FALSE),"")</f>
        <v/>
      </c>
      <c r="P88" s="132" t="str">
        <f>IFERROR(VLOOKUP(O88,'04.Lista Riscos,Classificação'!$AT$4:$AV$28,3,FALSE),"")</f>
        <v/>
      </c>
      <c r="Q88" s="101"/>
      <c r="R88" s="131" t="str">
        <f>IFERROR(VLOOKUP(O88,'04.Lista Riscos,Classificação'!$AZ$4:$BA$7,2,FALSE),"")</f>
        <v/>
      </c>
      <c r="S88" s="106"/>
      <c r="T88" s="185"/>
      <c r="U88" s="165" t="str">
        <f>IFERROR(VLOOKUP(T88,'04.Lista Riscos,Classificação'!$O$22:$Q$26,3,FALSE),"")</f>
        <v/>
      </c>
      <c r="V88" s="130" t="str">
        <f t="shared" si="6"/>
        <v/>
      </c>
      <c r="W88" s="130" t="str">
        <f>IFERROR(VLOOKUP(V88,'04.Lista Riscos,Classificação'!$AS$4:$AV$28,2,FALSE),"")</f>
        <v/>
      </c>
      <c r="X88" s="101"/>
      <c r="Y88" s="195"/>
    </row>
    <row r="89" spans="2:25" ht="54" customHeight="1">
      <c r="B89" s="148" t="str">
        <f>IFERROR(VLOOKUP(D89,'03.Inventário de Ativos'!$D$4:$E$866,2,FALSE),"")</f>
        <v/>
      </c>
      <c r="C89" s="148" t="str">
        <f>IFERROR(VLOOKUP(D89,'03.Inventário de Ativos'!$D$4:$J$99,7,FALSE),"")</f>
        <v/>
      </c>
      <c r="D89" s="98"/>
      <c r="E89" s="128" t="str">
        <f>IFERROR(VLOOKUP(F89,Tabela2[[Descrição]:[ID. Risco]],2,FALSE),"")</f>
        <v/>
      </c>
      <c r="F89" s="97"/>
      <c r="G89" s="107" t="str">
        <f t="shared" si="4"/>
        <v/>
      </c>
      <c r="H89" s="99"/>
      <c r="I89" s="188"/>
      <c r="J89" s="100"/>
      <c r="K89" s="129" t="str">
        <f>IFERROR(VLOOKUP(J89,'04.Lista Riscos,Classificação'!$O$6:$Q$10,3,FALSE),"")</f>
        <v/>
      </c>
      <c r="L89" s="100"/>
      <c r="M89" s="129" t="str">
        <f>IFERROR(VLOOKUP(L89,'04.Lista Riscos,Classificação'!$O$13:$Q$18,3,FALSE),"")</f>
        <v/>
      </c>
      <c r="N89" s="130" t="str">
        <f t="shared" si="5"/>
        <v/>
      </c>
      <c r="O89" s="130" t="str">
        <f>IFERROR(VLOOKUP(N89,'04.Lista Riscos,Classificação'!$AS$4:$AT$28,2,FALSE),"")</f>
        <v/>
      </c>
      <c r="P89" s="132" t="str">
        <f>IFERROR(VLOOKUP(O89,'04.Lista Riscos,Classificação'!$AT$4:$AV$28,3,FALSE),"")</f>
        <v/>
      </c>
      <c r="Q89" s="101"/>
      <c r="R89" s="131" t="str">
        <f>IFERROR(VLOOKUP(O89,'04.Lista Riscos,Classificação'!$AZ$4:$BA$7,2,FALSE),"")</f>
        <v/>
      </c>
      <c r="S89" s="106"/>
      <c r="T89" s="185"/>
      <c r="U89" s="165" t="str">
        <f>IFERROR(VLOOKUP(T89,'04.Lista Riscos,Classificação'!$O$22:$Q$26,3,FALSE),"")</f>
        <v/>
      </c>
      <c r="V89" s="130" t="str">
        <f t="shared" si="6"/>
        <v/>
      </c>
      <c r="W89" s="130" t="str">
        <f>IFERROR(VLOOKUP(V89,'04.Lista Riscos,Classificação'!$AS$4:$AV$28,2,FALSE),"")</f>
        <v/>
      </c>
      <c r="X89" s="101"/>
      <c r="Y89" s="195"/>
    </row>
    <row r="90" spans="2:25" ht="54" customHeight="1">
      <c r="B90" s="148" t="str">
        <f>IFERROR(VLOOKUP(D90,'03.Inventário de Ativos'!$D$4:$E$866,2,FALSE),"")</f>
        <v/>
      </c>
      <c r="C90" s="148" t="str">
        <f>IFERROR(VLOOKUP(D90,'03.Inventário de Ativos'!$D$4:$J$99,7,FALSE),"")</f>
        <v/>
      </c>
      <c r="D90" s="98"/>
      <c r="E90" s="128" t="str">
        <f>IFERROR(VLOOKUP(F90,Tabela2[[Descrição]:[ID. Risco]],2,FALSE),"")</f>
        <v/>
      </c>
      <c r="F90" s="97"/>
      <c r="G90" s="107" t="str">
        <f t="shared" si="4"/>
        <v/>
      </c>
      <c r="H90" s="99"/>
      <c r="I90" s="188"/>
      <c r="J90" s="100"/>
      <c r="K90" s="129" t="str">
        <f>IFERROR(VLOOKUP(J90,'04.Lista Riscos,Classificação'!$O$6:$Q$10,3,FALSE),"")</f>
        <v/>
      </c>
      <c r="L90" s="100"/>
      <c r="M90" s="129" t="str">
        <f>IFERROR(VLOOKUP(L90,'04.Lista Riscos,Classificação'!$O$13:$Q$18,3,FALSE),"")</f>
        <v/>
      </c>
      <c r="N90" s="130" t="str">
        <f t="shared" si="5"/>
        <v/>
      </c>
      <c r="O90" s="130" t="str">
        <f>IFERROR(VLOOKUP(N90,'04.Lista Riscos,Classificação'!$AS$4:$AT$28,2,FALSE),"")</f>
        <v/>
      </c>
      <c r="P90" s="132" t="str">
        <f>IFERROR(VLOOKUP(O90,'04.Lista Riscos,Classificação'!$AT$4:$AV$28,3,FALSE),"")</f>
        <v/>
      </c>
      <c r="Q90" s="101"/>
      <c r="R90" s="131" t="str">
        <f>IFERROR(VLOOKUP(O90,'04.Lista Riscos,Classificação'!$AZ$4:$BA$7,2,FALSE),"")</f>
        <v/>
      </c>
      <c r="S90" s="106"/>
      <c r="T90" s="185"/>
      <c r="U90" s="165" t="str">
        <f>IFERROR(VLOOKUP(T90,'04.Lista Riscos,Classificação'!$O$22:$Q$26,3,FALSE),"")</f>
        <v/>
      </c>
      <c r="V90" s="130" t="str">
        <f t="shared" si="6"/>
        <v/>
      </c>
      <c r="W90" s="130" t="str">
        <f>IFERROR(VLOOKUP(V90,'04.Lista Riscos,Classificação'!$AS$4:$AV$28,2,FALSE),"")</f>
        <v/>
      </c>
      <c r="X90" s="101"/>
      <c r="Y90" s="195"/>
    </row>
    <row r="91" spans="2:25" ht="54" customHeight="1">
      <c r="B91" s="148" t="str">
        <f>IFERROR(VLOOKUP(D91,'03.Inventário de Ativos'!$D$4:$E$866,2,FALSE),"")</f>
        <v/>
      </c>
      <c r="C91" s="148" t="str">
        <f>IFERROR(VLOOKUP(D91,'03.Inventário de Ativos'!$D$4:$J$99,7,FALSE),"")</f>
        <v/>
      </c>
      <c r="D91" s="98"/>
      <c r="E91" s="128" t="str">
        <f>IFERROR(VLOOKUP(F91,Tabela2[[Descrição]:[ID. Risco]],2,FALSE),"")</f>
        <v/>
      </c>
      <c r="F91" s="97"/>
      <c r="G91" s="107" t="str">
        <f t="shared" si="4"/>
        <v/>
      </c>
      <c r="H91" s="99"/>
      <c r="I91" s="188"/>
      <c r="J91" s="100"/>
      <c r="K91" s="129" t="str">
        <f>IFERROR(VLOOKUP(J91,'04.Lista Riscos,Classificação'!$O$6:$Q$10,3,FALSE),"")</f>
        <v/>
      </c>
      <c r="L91" s="100"/>
      <c r="M91" s="129" t="str">
        <f>IFERROR(VLOOKUP(L91,'04.Lista Riscos,Classificação'!$O$13:$Q$18,3,FALSE),"")</f>
        <v/>
      </c>
      <c r="N91" s="130" t="str">
        <f t="shared" si="5"/>
        <v/>
      </c>
      <c r="O91" s="130" t="str">
        <f>IFERROR(VLOOKUP(N91,'04.Lista Riscos,Classificação'!$AS$4:$AT$28,2,FALSE),"")</f>
        <v/>
      </c>
      <c r="P91" s="132" t="str">
        <f>IFERROR(VLOOKUP(O91,'04.Lista Riscos,Classificação'!$AT$4:$AV$28,3,FALSE),"")</f>
        <v/>
      </c>
      <c r="Q91" s="101"/>
      <c r="R91" s="131" t="str">
        <f>IFERROR(VLOOKUP(O91,'04.Lista Riscos,Classificação'!$AZ$4:$BA$7,2,FALSE),"")</f>
        <v/>
      </c>
      <c r="S91" s="106"/>
      <c r="T91" s="185"/>
      <c r="U91" s="165" t="str">
        <f>IFERROR(VLOOKUP(T91,'04.Lista Riscos,Classificação'!$O$22:$Q$26,3,FALSE),"")</f>
        <v/>
      </c>
      <c r="V91" s="130" t="str">
        <f t="shared" si="6"/>
        <v/>
      </c>
      <c r="W91" s="130" t="str">
        <f>IFERROR(VLOOKUP(V91,'04.Lista Riscos,Classificação'!$AS$4:$AV$28,2,FALSE),"")</f>
        <v/>
      </c>
      <c r="X91" s="101"/>
      <c r="Y91" s="195"/>
    </row>
    <row r="92" spans="2:25" ht="54" customHeight="1">
      <c r="B92" s="148" t="str">
        <f>IFERROR(VLOOKUP(D92,'03.Inventário de Ativos'!$D$4:$E$866,2,FALSE),"")</f>
        <v/>
      </c>
      <c r="C92" s="148" t="str">
        <f>IFERROR(VLOOKUP(D92,'03.Inventário de Ativos'!$D$4:$J$99,7,FALSE),"")</f>
        <v/>
      </c>
      <c r="D92" s="98"/>
      <c r="E92" s="128" t="str">
        <f>IFERROR(VLOOKUP(F92,Tabela2[[Descrição]:[ID. Risco]],2,FALSE),"")</f>
        <v/>
      </c>
      <c r="F92" s="97"/>
      <c r="G92" s="107" t="str">
        <f t="shared" si="4"/>
        <v/>
      </c>
      <c r="H92" s="99"/>
      <c r="I92" s="188"/>
      <c r="J92" s="100"/>
      <c r="K92" s="129" t="str">
        <f>IFERROR(VLOOKUP(J92,'04.Lista Riscos,Classificação'!$O$6:$Q$10,3,FALSE),"")</f>
        <v/>
      </c>
      <c r="L92" s="100"/>
      <c r="M92" s="129" t="str">
        <f>IFERROR(VLOOKUP(L92,'04.Lista Riscos,Classificação'!$O$13:$Q$18,3,FALSE),"")</f>
        <v/>
      </c>
      <c r="N92" s="130" t="str">
        <f t="shared" si="5"/>
        <v/>
      </c>
      <c r="O92" s="130" t="str">
        <f>IFERROR(VLOOKUP(N92,'04.Lista Riscos,Classificação'!$AS$4:$AT$28,2,FALSE),"")</f>
        <v/>
      </c>
      <c r="P92" s="132" t="str">
        <f>IFERROR(VLOOKUP(O92,'04.Lista Riscos,Classificação'!$AT$4:$AV$28,3,FALSE),"")</f>
        <v/>
      </c>
      <c r="Q92" s="101"/>
      <c r="R92" s="131" t="str">
        <f>IFERROR(VLOOKUP(O92,'04.Lista Riscos,Classificação'!$AZ$4:$BA$7,2,FALSE),"")</f>
        <v/>
      </c>
      <c r="S92" s="106"/>
      <c r="T92" s="185"/>
      <c r="U92" s="165" t="str">
        <f>IFERROR(VLOOKUP(T92,'04.Lista Riscos,Classificação'!$O$22:$Q$26,3,FALSE),"")</f>
        <v/>
      </c>
      <c r="V92" s="130" t="str">
        <f t="shared" si="6"/>
        <v/>
      </c>
      <c r="W92" s="130" t="str">
        <f>IFERROR(VLOOKUP(V92,'04.Lista Riscos,Classificação'!$AS$4:$AV$28,2,FALSE),"")</f>
        <v/>
      </c>
      <c r="X92" s="101"/>
      <c r="Y92" s="195"/>
    </row>
    <row r="93" spans="2:25" ht="54" customHeight="1">
      <c r="B93" s="148" t="str">
        <f>IFERROR(VLOOKUP(D93,'03.Inventário de Ativos'!$D$4:$E$866,2,FALSE),"")</f>
        <v/>
      </c>
      <c r="C93" s="148" t="str">
        <f>IFERROR(VLOOKUP(D93,'03.Inventário de Ativos'!$D$4:$J$99,7,FALSE),"")</f>
        <v/>
      </c>
      <c r="D93" s="98"/>
      <c r="E93" s="128" t="str">
        <f>IFERROR(VLOOKUP(F93,Tabela2[[Descrição]:[ID. Risco]],2,FALSE),"")</f>
        <v/>
      </c>
      <c r="F93" s="97"/>
      <c r="G93" s="107" t="str">
        <f t="shared" si="4"/>
        <v/>
      </c>
      <c r="H93" s="99"/>
      <c r="I93" s="188"/>
      <c r="J93" s="100"/>
      <c r="K93" s="129" t="str">
        <f>IFERROR(VLOOKUP(J93,'04.Lista Riscos,Classificação'!$O$6:$Q$10,3,FALSE),"")</f>
        <v/>
      </c>
      <c r="L93" s="100"/>
      <c r="M93" s="129" t="str">
        <f>IFERROR(VLOOKUP(L93,'04.Lista Riscos,Classificação'!$O$13:$Q$18,3,FALSE),"")</f>
        <v/>
      </c>
      <c r="N93" s="130" t="str">
        <f t="shared" si="5"/>
        <v/>
      </c>
      <c r="O93" s="130" t="str">
        <f>IFERROR(VLOOKUP(N93,'04.Lista Riscos,Classificação'!$AS$4:$AT$28,2,FALSE),"")</f>
        <v/>
      </c>
      <c r="P93" s="132" t="str">
        <f>IFERROR(VLOOKUP(O93,'04.Lista Riscos,Classificação'!$AT$4:$AV$28,3,FALSE),"")</f>
        <v/>
      </c>
      <c r="Q93" s="101"/>
      <c r="R93" s="131" t="str">
        <f>IFERROR(VLOOKUP(O93,'04.Lista Riscos,Classificação'!$AZ$4:$BA$7,2,FALSE),"")</f>
        <v/>
      </c>
      <c r="S93" s="106"/>
      <c r="T93" s="185"/>
      <c r="U93" s="165" t="str">
        <f>IFERROR(VLOOKUP(T93,'04.Lista Riscos,Classificação'!$O$22:$Q$26,3,FALSE),"")</f>
        <v/>
      </c>
      <c r="V93" s="130" t="str">
        <f t="shared" si="6"/>
        <v/>
      </c>
      <c r="W93" s="130" t="str">
        <f>IFERROR(VLOOKUP(V93,'04.Lista Riscos,Classificação'!$AS$4:$AV$28,2,FALSE),"")</f>
        <v/>
      </c>
      <c r="X93" s="101"/>
      <c r="Y93" s="195"/>
    </row>
    <row r="94" spans="2:25" ht="54" customHeight="1">
      <c r="B94" s="148" t="str">
        <f>IFERROR(VLOOKUP(D94,'03.Inventário de Ativos'!$D$4:$E$866,2,FALSE),"")</f>
        <v/>
      </c>
      <c r="C94" s="148" t="str">
        <f>IFERROR(VLOOKUP(D94,'03.Inventário de Ativos'!$D$4:$J$99,7,FALSE),"")</f>
        <v/>
      </c>
      <c r="D94" s="98"/>
      <c r="E94" s="128" t="str">
        <f>IFERROR(VLOOKUP(F94,Tabela2[[Descrição]:[ID. Risco]],2,FALSE),"")</f>
        <v/>
      </c>
      <c r="F94" s="97"/>
      <c r="G94" s="107" t="str">
        <f t="shared" si="4"/>
        <v/>
      </c>
      <c r="H94" s="99"/>
      <c r="I94" s="188"/>
      <c r="J94" s="100"/>
      <c r="K94" s="129" t="str">
        <f>IFERROR(VLOOKUP(J94,'04.Lista Riscos,Classificação'!$O$6:$Q$10,3,FALSE),"")</f>
        <v/>
      </c>
      <c r="L94" s="100"/>
      <c r="M94" s="129" t="str">
        <f>IFERROR(VLOOKUP(L94,'04.Lista Riscos,Classificação'!$O$13:$Q$18,3,FALSE),"")</f>
        <v/>
      </c>
      <c r="N94" s="130" t="str">
        <f t="shared" si="5"/>
        <v/>
      </c>
      <c r="O94" s="130" t="str">
        <f>IFERROR(VLOOKUP(N94,'04.Lista Riscos,Classificação'!$AS$4:$AT$28,2,FALSE),"")</f>
        <v/>
      </c>
      <c r="P94" s="132" t="str">
        <f>IFERROR(VLOOKUP(O94,'04.Lista Riscos,Classificação'!$AT$4:$AV$28,3,FALSE),"")</f>
        <v/>
      </c>
      <c r="Q94" s="101"/>
      <c r="R94" s="131" t="str">
        <f>IFERROR(VLOOKUP(O94,'04.Lista Riscos,Classificação'!$AZ$4:$BA$7,2,FALSE),"")</f>
        <v/>
      </c>
      <c r="S94" s="106"/>
      <c r="T94" s="185"/>
      <c r="U94" s="165" t="str">
        <f>IFERROR(VLOOKUP(T94,'04.Lista Riscos,Classificação'!$O$22:$Q$26,3,FALSE),"")</f>
        <v/>
      </c>
      <c r="V94" s="130" t="str">
        <f t="shared" si="6"/>
        <v/>
      </c>
      <c r="W94" s="130" t="str">
        <f>IFERROR(VLOOKUP(V94,'04.Lista Riscos,Classificação'!$AS$4:$AV$28,2,FALSE),"")</f>
        <v/>
      </c>
      <c r="X94" s="101"/>
      <c r="Y94" s="195"/>
    </row>
    <row r="95" spans="2:25" ht="54" customHeight="1">
      <c r="B95" s="148" t="str">
        <f>IFERROR(VLOOKUP(D95,'03.Inventário de Ativos'!$D$4:$E$866,2,FALSE),"")</f>
        <v/>
      </c>
      <c r="C95" s="148" t="str">
        <f>IFERROR(VLOOKUP(D95,'03.Inventário de Ativos'!$D$4:$J$99,7,FALSE),"")</f>
        <v/>
      </c>
      <c r="D95" s="98"/>
      <c r="E95" s="128" t="str">
        <f>IFERROR(VLOOKUP(F95,Tabela2[[Descrição]:[ID. Risco]],2,FALSE),"")</f>
        <v/>
      </c>
      <c r="F95" s="97"/>
      <c r="G95" s="107" t="str">
        <f t="shared" si="4"/>
        <v/>
      </c>
      <c r="H95" s="99"/>
      <c r="I95" s="188"/>
      <c r="J95" s="100"/>
      <c r="K95" s="129" t="str">
        <f>IFERROR(VLOOKUP(J95,'04.Lista Riscos,Classificação'!$O$6:$Q$10,3,FALSE),"")</f>
        <v/>
      </c>
      <c r="L95" s="100"/>
      <c r="M95" s="129" t="str">
        <f>IFERROR(VLOOKUP(L95,'04.Lista Riscos,Classificação'!$O$13:$Q$18,3,FALSE),"")</f>
        <v/>
      </c>
      <c r="N95" s="130" t="str">
        <f t="shared" si="5"/>
        <v/>
      </c>
      <c r="O95" s="130" t="str">
        <f>IFERROR(VLOOKUP(N95,'04.Lista Riscos,Classificação'!$AS$4:$AT$28,2,FALSE),"")</f>
        <v/>
      </c>
      <c r="P95" s="132" t="str">
        <f>IFERROR(VLOOKUP(O95,'04.Lista Riscos,Classificação'!$AT$4:$AV$28,3,FALSE),"")</f>
        <v/>
      </c>
      <c r="Q95" s="101"/>
      <c r="R95" s="131" t="str">
        <f>IFERROR(VLOOKUP(O95,'04.Lista Riscos,Classificação'!$AZ$4:$BA$7,2,FALSE),"")</f>
        <v/>
      </c>
      <c r="S95" s="106"/>
      <c r="T95" s="185"/>
      <c r="U95" s="165" t="str">
        <f>IFERROR(VLOOKUP(T95,'04.Lista Riscos,Classificação'!$O$22:$Q$26,3,FALSE),"")</f>
        <v/>
      </c>
      <c r="V95" s="130" t="str">
        <f t="shared" si="6"/>
        <v/>
      </c>
      <c r="W95" s="130" t="str">
        <f>IFERROR(VLOOKUP(V95,'04.Lista Riscos,Classificação'!$AS$4:$AV$28,2,FALSE),"")</f>
        <v/>
      </c>
      <c r="X95" s="101"/>
      <c r="Y95" s="195"/>
    </row>
    <row r="96" spans="2:25" ht="54" customHeight="1">
      <c r="B96" s="148" t="str">
        <f>IFERROR(VLOOKUP(D96,'03.Inventário de Ativos'!$D$4:$E$866,2,FALSE),"")</f>
        <v/>
      </c>
      <c r="C96" s="148" t="str">
        <f>IFERROR(VLOOKUP(D96,'03.Inventário de Ativos'!$D$4:$J$99,7,FALSE),"")</f>
        <v/>
      </c>
      <c r="D96" s="98"/>
      <c r="E96" s="128" t="str">
        <f>IFERROR(VLOOKUP(F96,Tabela2[[Descrição]:[ID. Risco]],2,FALSE),"")</f>
        <v/>
      </c>
      <c r="F96" s="97"/>
      <c r="G96" s="107" t="str">
        <f t="shared" si="4"/>
        <v/>
      </c>
      <c r="H96" s="99"/>
      <c r="I96" s="188"/>
      <c r="J96" s="100"/>
      <c r="K96" s="129" t="str">
        <f>IFERROR(VLOOKUP(J96,'04.Lista Riscos,Classificação'!$O$6:$Q$10,3,FALSE),"")</f>
        <v/>
      </c>
      <c r="L96" s="100"/>
      <c r="M96" s="129" t="str">
        <f>IFERROR(VLOOKUP(L96,'04.Lista Riscos,Classificação'!$O$13:$Q$18,3,FALSE),"")</f>
        <v/>
      </c>
      <c r="N96" s="130" t="str">
        <f t="shared" si="5"/>
        <v/>
      </c>
      <c r="O96" s="130" t="str">
        <f>IFERROR(VLOOKUP(N96,'04.Lista Riscos,Classificação'!$AS$4:$AT$28,2,FALSE),"")</f>
        <v/>
      </c>
      <c r="P96" s="132" t="str">
        <f>IFERROR(VLOOKUP(O96,'04.Lista Riscos,Classificação'!$AT$4:$AV$28,3,FALSE),"")</f>
        <v/>
      </c>
      <c r="Q96" s="101"/>
      <c r="R96" s="131" t="str">
        <f>IFERROR(VLOOKUP(O96,'04.Lista Riscos,Classificação'!$AZ$4:$BA$7,2,FALSE),"")</f>
        <v/>
      </c>
      <c r="S96" s="106"/>
      <c r="T96" s="185"/>
      <c r="U96" s="165" t="str">
        <f>IFERROR(VLOOKUP(T96,'04.Lista Riscos,Classificação'!$O$22:$Q$26,3,FALSE),"")</f>
        <v/>
      </c>
      <c r="V96" s="130" t="str">
        <f t="shared" si="6"/>
        <v/>
      </c>
      <c r="W96" s="130" t="str">
        <f>IFERROR(VLOOKUP(V96,'04.Lista Riscos,Classificação'!$AS$4:$AV$28,2,FALSE),"")</f>
        <v/>
      </c>
      <c r="X96" s="101"/>
      <c r="Y96" s="195"/>
    </row>
    <row r="97" spans="2:25" ht="54" customHeight="1">
      <c r="B97" s="148" t="str">
        <f>IFERROR(VLOOKUP(D97,'03.Inventário de Ativos'!$D$4:$E$866,2,FALSE),"")</f>
        <v/>
      </c>
      <c r="C97" s="148" t="str">
        <f>IFERROR(VLOOKUP(D97,'03.Inventário de Ativos'!$D$4:$J$99,7,FALSE),"")</f>
        <v/>
      </c>
      <c r="D97" s="98"/>
      <c r="E97" s="128" t="str">
        <f>IFERROR(VLOOKUP(F97,Tabela2[[Descrição]:[ID. Risco]],2,FALSE),"")</f>
        <v/>
      </c>
      <c r="F97" s="97"/>
      <c r="G97" s="107" t="str">
        <f t="shared" si="4"/>
        <v/>
      </c>
      <c r="H97" s="99"/>
      <c r="I97" s="188"/>
      <c r="J97" s="100"/>
      <c r="K97" s="129" t="str">
        <f>IFERROR(VLOOKUP(J97,'04.Lista Riscos,Classificação'!$O$6:$Q$10,3,FALSE),"")</f>
        <v/>
      </c>
      <c r="L97" s="100"/>
      <c r="M97" s="129" t="str">
        <f>IFERROR(VLOOKUP(L97,'04.Lista Riscos,Classificação'!$O$13:$Q$18,3,FALSE),"")</f>
        <v/>
      </c>
      <c r="N97" s="130" t="str">
        <f t="shared" si="5"/>
        <v/>
      </c>
      <c r="O97" s="130" t="str">
        <f>IFERROR(VLOOKUP(N97,'04.Lista Riscos,Classificação'!$AS$4:$AT$28,2,FALSE),"")</f>
        <v/>
      </c>
      <c r="P97" s="132" t="str">
        <f>IFERROR(VLOOKUP(O97,'04.Lista Riscos,Classificação'!$AT$4:$AV$28,3,FALSE),"")</f>
        <v/>
      </c>
      <c r="Q97" s="101"/>
      <c r="R97" s="131" t="str">
        <f>IFERROR(VLOOKUP(O97,'04.Lista Riscos,Classificação'!$AZ$4:$BA$7,2,FALSE),"")</f>
        <v/>
      </c>
      <c r="S97" s="106"/>
      <c r="T97" s="185"/>
      <c r="U97" s="165" t="str">
        <f>IFERROR(VLOOKUP(T97,'04.Lista Riscos,Classificação'!$O$22:$Q$26,3,FALSE),"")</f>
        <v/>
      </c>
      <c r="V97" s="130" t="str">
        <f t="shared" si="6"/>
        <v/>
      </c>
      <c r="W97" s="130" t="str">
        <f>IFERROR(VLOOKUP(V97,'04.Lista Riscos,Classificação'!$AS$4:$AV$28,2,FALSE),"")</f>
        <v/>
      </c>
      <c r="X97" s="101"/>
      <c r="Y97" s="195"/>
    </row>
  </sheetData>
  <sheetProtection formatColumns="0" formatRows="0" autoFilter="0"/>
  <autoFilter ref="C4:X97" xr:uid="{00000000-0009-0000-0000-000000000000}"/>
  <mergeCells count="6">
    <mergeCell ref="B2:C3"/>
    <mergeCell ref="E2:H3"/>
    <mergeCell ref="J2:O3"/>
    <mergeCell ref="P2:R3"/>
    <mergeCell ref="S2:X3"/>
    <mergeCell ref="I2:I3"/>
  </mergeCells>
  <conditionalFormatting sqref="N5:N97">
    <cfRule type="cellIs" dxfId="15" priority="28" stopIfTrue="1" operator="between">
      <formula>15</formula>
      <formula>25</formula>
    </cfRule>
    <cfRule type="cellIs" dxfId="14" priority="29" stopIfTrue="1" operator="between">
      <formula>3</formula>
      <formula>4</formula>
    </cfRule>
    <cfRule type="cellIs" dxfId="13" priority="30" stopIfTrue="1" operator="between">
      <formula>5</formula>
      <formula>12</formula>
    </cfRule>
    <cfRule type="cellIs" dxfId="12" priority="31" stopIfTrue="1" operator="between">
      <formula>1</formula>
      <formula>2</formula>
    </cfRule>
  </conditionalFormatting>
  <conditionalFormatting sqref="O5:O97">
    <cfRule type="containsText" dxfId="7" priority="1" stopIfTrue="1" operator="containsText" text="Reduzido">
      <formula>NOT(ISERROR(SEARCH("Reduzido",O5)))</formula>
    </cfRule>
    <cfRule type="containsText" dxfId="6" priority="2" stopIfTrue="1" operator="containsText" text="Moderado">
      <formula>NOT(ISERROR(SEARCH("Moderado",O5)))</formula>
    </cfRule>
    <cfRule type="containsText" dxfId="5" priority="3" stopIfTrue="1" operator="containsText" text="Elevado">
      <formula>NOT(ISERROR(SEARCH("Elevado",O5)))</formula>
    </cfRule>
    <cfRule type="containsText" dxfId="4" priority="5" stopIfTrue="1" operator="containsText" text="Severo">
      <formula>NOT(ISERROR(SEARCH("Severo",O5)))</formula>
    </cfRule>
  </conditionalFormatting>
  <conditionalFormatting sqref="O6:O97">
    <cfRule type="containsText" dxfId="3" priority="4" stopIfTrue="1" operator="containsText" text="Alto">
      <formula>NOT(ISERROR(SEARCH("Alto",O6)))</formula>
    </cfRule>
  </conditionalFormatting>
  <conditionalFormatting sqref="S5:U97">
    <cfRule type="cellIs" dxfId="2" priority="503" stopIfTrue="1" operator="equal">
      <formula>"Não eficaz"</formula>
    </cfRule>
    <cfRule type="cellIs" dxfId="1" priority="504" stopIfTrue="1" operator="equal">
      <formula>"Parcialmente eficaz"</formula>
    </cfRule>
    <cfRule type="cellIs" dxfId="0" priority="505" stopIfTrue="1" operator="equal">
      <formula>"Eficaz"</formula>
    </cfRule>
  </conditionalFormatting>
  <dataValidations xWindow="64" yWindow="264" count="5">
    <dataValidation allowBlank="1" showErrorMessage="1" promptTitle="Ação de Resposta ao Risco" prompt="Os possíveis tipos de resposta ao risco são os seguintes: ação imediata, ação com periodo máximo de execução, monitorização periódica ou não requer qualquer ação." sqref="P4" xr:uid="{153A8769-B349-4D22-AA0D-9E240D25D14E}"/>
    <dataValidation allowBlank="1" showErrorMessage="1" sqref="J2 V4:X4 J4 L4 H4:I97 K5:K1048576 M5:N97" xr:uid="{D00E6C4D-A258-4ECC-9C53-369546E4C3D6}"/>
    <dataValidation allowBlank="1" showErrorMessage="1" promptTitle="Risco Líquido" prompt="Exposição ao risco considerando os controlos e outras medidas de mitigação existentes." sqref="O4" xr:uid="{2A138DC7-B49F-407C-9D1C-7B3286A77529}"/>
    <dataValidation type="list" allowBlank="1" showInputMessage="1" showErrorMessage="1" sqref="S5:S97" xr:uid="{73FEA3EE-AD68-45FA-B937-F3B05C1D3599}">
      <formula1>"não iniciado,a decorrer,concluído,"</formula1>
    </dataValidation>
    <dataValidation type="list" allowBlank="1" showInputMessage="1" showErrorMessage="1" sqref="X5:X97 Q5:Q97" xr:uid="{4BC65924-BF7B-4BF3-979C-07938B7C28CE}">
      <formula1>"Aceitar,Mitigar,Transferir,Evitar"</formula1>
    </dataValidation>
  </dataValidations>
  <pageMargins left="0.23622047244094491" right="0.23622047244094491" top="0.74803149606299213" bottom="0.74803149606299213" header="0.31496062992125984" footer="0.31496062992125984"/>
  <pageSetup paperSize="9" orientation="landscape" r:id="rId1"/>
  <headerFooter>
    <oddFooter>&amp;LMOD-03.01.06_04</oddFooter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4" stopIfTrue="1" operator="containsText" id="{E4B4F146-8B3C-42BD-81C8-549B409F97BF}">
            <xm:f>NOT(ISERROR(SEARCH('04.Lista Riscos,Classificação'!$V$5,O5)))</xm:f>
            <xm:f>'04.Lista Riscos,Classificação'!$V$5</xm:f>
            <x14:dxf>
              <fill>
                <patternFill>
                  <bgColor rgb="FFC00000"/>
                </patternFill>
              </fill>
            </x14:dxf>
          </x14:cfRule>
          <x14:cfRule type="containsText" priority="65" stopIfTrue="1" operator="containsText" id="{B60EADEF-44A1-4179-8D0B-FF77D83BAAA2}">
            <xm:f>NOT(ISERROR(SEARCH('04.Lista Riscos,Classificação'!$T$5,O5)))</xm:f>
            <xm:f>'04.Lista Riscos,Classificação'!$T$5</xm:f>
            <x14:dxf>
              <fill>
                <patternFill>
                  <bgColor theme="7" tint="0.39994506668294322"/>
                </patternFill>
              </fill>
            </x14:dxf>
          </x14:cfRule>
          <x14:cfRule type="containsText" priority="477" stopIfTrue="1" operator="containsText" id="{23057F4E-7343-4024-8A35-FE393761AC77}">
            <xm:f>NOT(ISERROR(SEARCH('04.Lista Riscos,Classificação'!$U$5,O5)))</xm:f>
            <xm:f>'04.Lista Riscos,Classificação'!$U$5</xm:f>
            <x14:dxf>
              <font>
                <color auto="1"/>
              </font>
              <fill>
                <patternFill>
                  <bgColor rgb="FFF8AE28"/>
                </patternFill>
              </fill>
            </x14:dxf>
          </x14:cfRule>
          <x14:cfRule type="containsText" priority="478" stopIfTrue="1" operator="containsText" id="{E379BED1-547A-4DBF-919F-0EFEA3A4DA4B}">
            <xm:f>NOT(ISERROR(SEARCH('04.Lista Riscos,Classificação'!$S$5,O5)))</xm:f>
            <xm:f>'04.Lista Riscos,Classificação'!$S$5</xm:f>
            <x14:dxf>
              <font>
                <color auto="1"/>
              </font>
              <fill>
                <patternFill>
                  <bgColor theme="9" tint="0.39994506668294322"/>
                </patternFill>
              </fill>
            </x14:dxf>
          </x14:cfRule>
          <xm:sqref>O5:O97 V5:W97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xWindow="64" yWindow="264" count="6">
        <x14:dataValidation type="list" allowBlank="1" showErrorMessage="1" xr:uid="{C8BC8904-1BD2-4538-B30E-9660AC56EB21}">
          <x14:formula1>
            <xm:f>'04.Lista Riscos,Classificação'!$O$6:$O$10</xm:f>
          </x14:formula1>
          <xm:sqref>J5:J97</xm:sqref>
        </x14:dataValidation>
        <x14:dataValidation type="list" allowBlank="1" showErrorMessage="1" xr:uid="{C83334CF-0CBF-4BC6-8C5E-0B60433CDCF2}">
          <x14:formula1>
            <xm:f>'04.Lista Riscos,Classificação'!$O$14:$O$18</xm:f>
          </x14:formula1>
          <xm:sqref>L5:L97</xm:sqref>
        </x14:dataValidation>
        <x14:dataValidation type="list" allowBlank="1" showInputMessage="1" showErrorMessage="1" xr:uid="{8DBC43CB-274A-4AD1-9433-6BCA34320CCA}">
          <x14:formula1>
            <xm:f>'04.Lista Riscos,Classificação'!$O$22:$O$26</xm:f>
          </x14:formula1>
          <xm:sqref>T5:T97</xm:sqref>
        </x14:dataValidation>
        <x14:dataValidation type="list" allowBlank="1" showInputMessage="1" showErrorMessage="1" xr:uid="{B88B64FC-6152-466C-9F65-865CD17B1BF5}">
          <x14:formula1>
            <xm:f>'04.Lista Riscos,Classificação'!$C$4:$C$60</xm:f>
          </x14:formula1>
          <xm:sqref>F5:F1048576</xm:sqref>
        </x14:dataValidation>
        <x14:dataValidation type="list" allowBlank="1" showInputMessage="1" showErrorMessage="1" xr:uid="{F158F1A5-2A7E-4625-93F3-ECB2BD46E13B}">
          <x14:formula1>
            <xm:f>'03.Inventário de Ativos'!$D$5:$D$99</xm:f>
          </x14:formula1>
          <xm:sqref>D5:D15</xm:sqref>
        </x14:dataValidation>
        <x14:dataValidation type="list" allowBlank="1" showInputMessage="1" showErrorMessage="1" xr:uid="{29CF0E9B-410C-4087-B390-AA34C6DD2036}">
          <x14:formula1>
            <xm:f>'03.Inventário de Ativos'!$D$5:$D$1121</xm:f>
          </x14:formula1>
          <xm:sqref>D16:D97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D7368-D7D7-4332-8E23-4D7E7F539701}">
  <sheetPr>
    <tabColor theme="9" tint="-0.249977111117893"/>
  </sheetPr>
  <dimension ref="B2:R399"/>
  <sheetViews>
    <sheetView showGridLines="0" tabSelected="1" zoomScaleNormal="100" workbookViewId="0">
      <selection activeCell="A4" sqref="A4"/>
    </sheetView>
  </sheetViews>
  <sheetFormatPr defaultColWidth="9.109375" defaultRowHeight="16.8"/>
  <cols>
    <col min="1" max="1" width="2.5546875" style="103" customWidth="1"/>
    <col min="2" max="2" width="27.109375" style="103" bestFit="1" customWidth="1"/>
    <col min="3" max="3" width="14.5546875" style="103" customWidth="1"/>
    <col min="4" max="4" width="70" style="103" bestFit="1" customWidth="1"/>
    <col min="5" max="5" width="54.5546875" style="103" customWidth="1"/>
    <col min="6" max="6" width="107.44140625" style="103" hidden="1" customWidth="1"/>
    <col min="7" max="7" width="48.44140625" style="103" customWidth="1"/>
    <col min="8" max="8" width="40.5546875" style="103" bestFit="1" customWidth="1"/>
    <col min="9" max="9" width="29" style="103" customWidth="1"/>
    <col min="10" max="11" width="40.5546875" style="103" bestFit="1" customWidth="1"/>
    <col min="12" max="15" width="52" style="91" customWidth="1"/>
    <col min="16" max="17" width="9.109375" style="103"/>
    <col min="18" max="18" width="113.88671875" style="103" bestFit="1" customWidth="1"/>
    <col min="19" max="16384" width="9.109375" style="103"/>
  </cols>
  <sheetData>
    <row r="2" spans="2:18" ht="36" customHeight="1">
      <c r="B2" s="251" t="s">
        <v>37</v>
      </c>
      <c r="C2" s="251"/>
      <c r="D2" s="251"/>
      <c r="E2" s="251"/>
      <c r="F2" s="251"/>
      <c r="G2" s="251"/>
      <c r="H2" s="251"/>
      <c r="I2" s="251"/>
      <c r="J2" s="251"/>
      <c r="K2" s="251"/>
      <c r="L2" s="252" t="s">
        <v>338</v>
      </c>
      <c r="M2" s="253"/>
      <c r="N2" s="253"/>
      <c r="O2" s="254"/>
      <c r="R2" s="103" t="s">
        <v>594</v>
      </c>
    </row>
    <row r="3" spans="2:18" s="105" customFormat="1" ht="36" customHeight="1">
      <c r="B3" s="166" t="s">
        <v>339</v>
      </c>
      <c r="C3" s="166" t="s">
        <v>319</v>
      </c>
      <c r="D3" s="166" t="s">
        <v>340</v>
      </c>
      <c r="E3" s="166" t="s">
        <v>341</v>
      </c>
      <c r="F3" s="166" t="s">
        <v>342</v>
      </c>
      <c r="G3" s="166" t="s">
        <v>343</v>
      </c>
      <c r="H3" s="166" t="s">
        <v>344</v>
      </c>
      <c r="I3" s="166" t="s">
        <v>345</v>
      </c>
      <c r="J3" s="166" t="s">
        <v>346</v>
      </c>
      <c r="K3" s="166" t="s">
        <v>347</v>
      </c>
      <c r="L3" s="95" t="s">
        <v>348</v>
      </c>
      <c r="M3" s="95" t="s">
        <v>348</v>
      </c>
      <c r="N3" s="95" t="s">
        <v>348</v>
      </c>
      <c r="O3" s="95" t="s">
        <v>348</v>
      </c>
      <c r="R3" s="105" t="s">
        <v>595</v>
      </c>
    </row>
    <row r="4" spans="2:18">
      <c r="B4" s="98"/>
      <c r="C4" s="174"/>
      <c r="D4" s="97"/>
      <c r="E4" s="169"/>
      <c r="F4" s="170"/>
      <c r="G4" s="171"/>
      <c r="H4" s="168"/>
      <c r="I4" s="168"/>
      <c r="J4" s="196"/>
      <c r="K4" s="172"/>
      <c r="L4" s="99"/>
      <c r="M4" s="99"/>
      <c r="N4" s="99"/>
      <c r="O4" s="99"/>
      <c r="R4" s="103" t="s">
        <v>596</v>
      </c>
    </row>
    <row r="5" spans="2:18" ht="20.100000000000001" customHeight="1">
      <c r="B5" s="98"/>
      <c r="C5" s="174"/>
      <c r="D5" s="97"/>
      <c r="E5" s="175"/>
      <c r="F5" s="176"/>
      <c r="G5" s="51"/>
      <c r="H5" s="174"/>
      <c r="I5" s="174"/>
      <c r="J5" s="197"/>
      <c r="K5" s="177"/>
      <c r="L5" s="99"/>
      <c r="M5" s="99"/>
      <c r="N5" s="99"/>
      <c r="O5" s="99"/>
      <c r="R5" s="103" t="s">
        <v>597</v>
      </c>
    </row>
    <row r="6" spans="2:18" ht="31.8" customHeight="1">
      <c r="B6" s="98"/>
      <c r="C6" s="174"/>
      <c r="D6" s="97"/>
      <c r="E6" s="105"/>
      <c r="F6" s="176"/>
      <c r="G6" s="51"/>
      <c r="H6" s="168"/>
      <c r="I6" s="174"/>
      <c r="J6" s="174"/>
      <c r="K6" s="177"/>
      <c r="L6" s="99"/>
      <c r="M6" s="99"/>
      <c r="N6" s="99"/>
      <c r="O6" s="99"/>
      <c r="R6" s="103" t="s">
        <v>598</v>
      </c>
    </row>
    <row r="7" spans="2:18" ht="30.6" customHeight="1">
      <c r="B7" s="98"/>
      <c r="C7" s="174"/>
      <c r="D7" s="97"/>
      <c r="E7" s="175"/>
      <c r="F7" s="176"/>
      <c r="G7" s="51"/>
      <c r="H7" s="174"/>
      <c r="I7" s="174"/>
      <c r="J7" s="174"/>
      <c r="K7" s="177"/>
      <c r="L7" s="99"/>
      <c r="M7" s="99"/>
      <c r="N7" s="99"/>
      <c r="O7" s="99"/>
      <c r="R7" s="103" t="s">
        <v>599</v>
      </c>
    </row>
    <row r="8" spans="2:18" ht="20.100000000000001" customHeight="1">
      <c r="B8" s="98"/>
      <c r="C8" s="174"/>
      <c r="D8" s="97"/>
      <c r="E8" s="175"/>
      <c r="F8" s="176"/>
      <c r="G8" s="51"/>
      <c r="H8" s="174"/>
      <c r="I8" s="174"/>
      <c r="J8" s="174"/>
      <c r="K8" s="177"/>
      <c r="L8" s="99"/>
      <c r="M8" s="99"/>
      <c r="N8" s="99"/>
      <c r="O8" s="99"/>
      <c r="R8" s="103" t="s">
        <v>600</v>
      </c>
    </row>
    <row r="9" spans="2:18" ht="20.100000000000001" customHeight="1">
      <c r="B9" s="98"/>
      <c r="C9" s="174"/>
      <c r="D9" s="97"/>
      <c r="E9" s="175"/>
      <c r="F9" s="176"/>
      <c r="G9" s="51"/>
      <c r="H9" s="174"/>
      <c r="I9" s="174"/>
      <c r="J9" s="174"/>
      <c r="K9" s="177"/>
      <c r="L9" s="99"/>
      <c r="M9" s="99"/>
      <c r="N9" s="99"/>
      <c r="O9" s="99"/>
      <c r="R9" s="103" t="s">
        <v>601</v>
      </c>
    </row>
    <row r="10" spans="2:18" ht="20.100000000000001" customHeight="1">
      <c r="B10" s="98"/>
      <c r="C10" s="174"/>
      <c r="D10" s="97"/>
      <c r="E10" s="175"/>
      <c r="F10" s="176"/>
      <c r="G10" s="51"/>
      <c r="H10" s="174"/>
      <c r="I10" s="174"/>
      <c r="J10" s="174"/>
      <c r="K10" s="177"/>
      <c r="L10" s="99"/>
      <c r="M10" s="99"/>
      <c r="N10" s="99"/>
      <c r="O10" s="99"/>
      <c r="R10" s="103" t="s">
        <v>602</v>
      </c>
    </row>
    <row r="11" spans="2:18" ht="20.100000000000001" customHeight="1">
      <c r="B11" s="98"/>
      <c r="C11" s="174" t="str">
        <f>IFERROR(VLOOKUP(D11,Tabela2[[Descrição]:[ID. Risco]],2,FALSE),"")</f>
        <v/>
      </c>
      <c r="D11" s="174"/>
      <c r="E11" s="175"/>
      <c r="F11" s="176"/>
      <c r="G11" s="51"/>
      <c r="H11" s="174"/>
      <c r="I11" s="174"/>
      <c r="J11" s="174"/>
      <c r="K11" s="177"/>
      <c r="L11" s="99"/>
      <c r="M11" s="99"/>
      <c r="N11" s="99"/>
      <c r="O11" s="99"/>
      <c r="R11" s="103" t="s">
        <v>603</v>
      </c>
    </row>
    <row r="12" spans="2:18" ht="20.100000000000001" customHeight="1">
      <c r="B12" s="98"/>
      <c r="C12" s="174" t="str">
        <f>IFERROR(VLOOKUP(D12,Tabela2[[Descrição]:[ID. Risco]],2,FALSE),"")</f>
        <v/>
      </c>
      <c r="D12" s="174"/>
      <c r="E12" s="175"/>
      <c r="F12" s="176"/>
      <c r="G12" s="51"/>
      <c r="H12" s="174"/>
      <c r="I12" s="174"/>
      <c r="J12" s="174"/>
      <c r="K12" s="177"/>
      <c r="L12" s="99"/>
      <c r="M12" s="99"/>
      <c r="N12" s="99"/>
      <c r="O12" s="99"/>
      <c r="R12" s="103" t="s">
        <v>604</v>
      </c>
    </row>
    <row r="13" spans="2:18" ht="20.100000000000001" customHeight="1">
      <c r="B13" s="98"/>
      <c r="C13" s="174" t="str">
        <f>IFERROR(VLOOKUP(D13,Tabela2[[Descrição]:[ID. Risco]],2,FALSE),"")</f>
        <v/>
      </c>
      <c r="D13" s="174"/>
      <c r="E13" s="175"/>
      <c r="F13" s="176"/>
      <c r="G13" s="51"/>
      <c r="H13" s="174"/>
      <c r="I13" s="174"/>
      <c r="J13" s="174"/>
      <c r="K13" s="177"/>
      <c r="L13" s="99"/>
      <c r="M13" s="99"/>
      <c r="N13" s="99"/>
      <c r="O13" s="99"/>
      <c r="R13" s="103" t="s">
        <v>605</v>
      </c>
    </row>
    <row r="14" spans="2:18" ht="20.100000000000001" customHeight="1">
      <c r="B14" s="98"/>
      <c r="C14" s="174" t="str">
        <f>IFERROR(VLOOKUP(D14,Tabela2[[Descrição]:[ID. Risco]],2,FALSE),"")</f>
        <v/>
      </c>
      <c r="D14" s="174"/>
      <c r="E14" s="175"/>
      <c r="F14" s="176"/>
      <c r="G14" s="51"/>
      <c r="H14" s="174"/>
      <c r="I14" s="174"/>
      <c r="J14" s="174"/>
      <c r="K14" s="177"/>
      <c r="L14" s="99"/>
      <c r="M14" s="99"/>
      <c r="N14" s="99"/>
      <c r="O14" s="99"/>
      <c r="R14" s="103" t="s">
        <v>606</v>
      </c>
    </row>
    <row r="15" spans="2:18" ht="20.100000000000001" customHeight="1">
      <c r="B15" s="173"/>
      <c r="C15" s="174" t="str">
        <f>IFERROR(VLOOKUP(D15,Tabela2[[Descrição]:[ID. Risco]],2,FALSE),"")</f>
        <v/>
      </c>
      <c r="D15" s="174"/>
      <c r="E15" s="175"/>
      <c r="F15" s="176"/>
      <c r="G15" s="51"/>
      <c r="H15" s="174"/>
      <c r="I15" s="174"/>
      <c r="J15" s="174"/>
      <c r="K15" s="177"/>
      <c r="L15" s="99"/>
      <c r="M15" s="99"/>
      <c r="N15" s="99"/>
      <c r="O15" s="99"/>
      <c r="R15" s="103" t="s">
        <v>607</v>
      </c>
    </row>
    <row r="16" spans="2:18" ht="20.100000000000001" customHeight="1">
      <c r="B16" s="173"/>
      <c r="C16" s="174" t="str">
        <f>IFERROR(VLOOKUP(D16,Tabela2[[Descrição]:[ID. Risco]],2,FALSE),"")</f>
        <v/>
      </c>
      <c r="D16" s="174"/>
      <c r="E16" s="174"/>
      <c r="F16" s="178"/>
      <c r="G16" s="174"/>
      <c r="H16" s="174"/>
      <c r="I16" s="174"/>
      <c r="J16" s="174"/>
      <c r="K16" s="177"/>
      <c r="L16" s="99"/>
      <c r="M16" s="99"/>
      <c r="N16" s="99"/>
      <c r="O16" s="99"/>
      <c r="R16" s="103" t="s">
        <v>608</v>
      </c>
    </row>
    <row r="17" spans="2:18" ht="20.100000000000001" customHeight="1">
      <c r="B17" s="173"/>
      <c r="C17" s="174" t="str">
        <f>IFERROR(VLOOKUP(D17,Tabela2[[Descrição]:[ID. Risco]],2,FALSE),"")</f>
        <v/>
      </c>
      <c r="D17" s="174"/>
      <c r="E17" s="174"/>
      <c r="F17" s="178"/>
      <c r="G17" s="174"/>
      <c r="H17" s="174"/>
      <c r="I17" s="174"/>
      <c r="J17" s="174"/>
      <c r="K17" s="177"/>
      <c r="L17" s="99"/>
      <c r="M17" s="99"/>
      <c r="N17" s="99"/>
      <c r="O17" s="99"/>
      <c r="R17" s="103" t="s">
        <v>609</v>
      </c>
    </row>
    <row r="18" spans="2:18" ht="20.100000000000001" customHeight="1">
      <c r="B18" s="173"/>
      <c r="C18" s="174" t="str">
        <f>IFERROR(VLOOKUP(D18,Tabela2[[Descrição]:[ID. Risco]],2,FALSE),"")</f>
        <v/>
      </c>
      <c r="D18" s="174"/>
      <c r="E18" s="174"/>
      <c r="F18" s="178"/>
      <c r="G18" s="174"/>
      <c r="H18" s="174"/>
      <c r="I18" s="174"/>
      <c r="J18" s="174"/>
      <c r="K18" s="177"/>
      <c r="L18" s="99"/>
      <c r="M18" s="99"/>
      <c r="N18" s="99"/>
      <c r="O18" s="99"/>
      <c r="R18" s="103" t="s">
        <v>610</v>
      </c>
    </row>
    <row r="19" spans="2:18" ht="20.100000000000001" customHeight="1">
      <c r="B19" s="173"/>
      <c r="C19" s="174" t="str">
        <f>IFERROR(VLOOKUP(D19,Tabela2[[Descrição]:[ID. Risco]],2,FALSE),"")</f>
        <v/>
      </c>
      <c r="D19" s="174"/>
      <c r="E19" s="174"/>
      <c r="F19" s="178"/>
      <c r="G19" s="174"/>
      <c r="H19" s="174"/>
      <c r="I19" s="174"/>
      <c r="J19" s="174"/>
      <c r="K19" s="177"/>
      <c r="L19" s="99"/>
      <c r="M19" s="99"/>
      <c r="N19" s="99"/>
      <c r="O19" s="99"/>
      <c r="R19" s="103" t="s">
        <v>611</v>
      </c>
    </row>
    <row r="20" spans="2:18" ht="20.100000000000001" customHeight="1">
      <c r="B20" s="173"/>
      <c r="C20" s="174" t="str">
        <f>IFERROR(VLOOKUP(D20,Tabela2[[Descrição]:[ID. Risco]],2,FALSE),"")</f>
        <v/>
      </c>
      <c r="D20" s="174"/>
      <c r="E20" s="174"/>
      <c r="F20" s="178"/>
      <c r="G20" s="174"/>
      <c r="H20" s="174"/>
      <c r="I20" s="174"/>
      <c r="J20" s="174"/>
      <c r="K20" s="177"/>
      <c r="L20" s="99"/>
      <c r="M20" s="99"/>
      <c r="N20" s="99"/>
      <c r="O20" s="99"/>
      <c r="R20" s="103" t="s">
        <v>612</v>
      </c>
    </row>
    <row r="21" spans="2:18" ht="20.100000000000001" customHeight="1">
      <c r="B21" s="173"/>
      <c r="C21" s="174" t="str">
        <f>IFERROR(VLOOKUP(D21,Tabela2[[Descrição]:[ID. Risco]],2,FALSE),"")</f>
        <v/>
      </c>
      <c r="D21" s="174"/>
      <c r="E21" s="174"/>
      <c r="F21" s="178"/>
      <c r="G21" s="174"/>
      <c r="H21" s="174"/>
      <c r="I21" s="174"/>
      <c r="J21" s="174"/>
      <c r="K21" s="177"/>
      <c r="L21" s="99"/>
      <c r="M21" s="99"/>
      <c r="N21" s="99"/>
      <c r="O21" s="99"/>
      <c r="R21" s="103" t="s">
        <v>613</v>
      </c>
    </row>
    <row r="22" spans="2:18" ht="20.100000000000001" customHeight="1">
      <c r="B22" s="173"/>
      <c r="C22" s="174" t="str">
        <f>IFERROR(VLOOKUP(D22,Tabela2[[Descrição]:[ID. Risco]],2,FALSE),"")</f>
        <v/>
      </c>
      <c r="D22" s="174"/>
      <c r="E22" s="174"/>
      <c r="F22" s="178"/>
      <c r="G22" s="174"/>
      <c r="H22" s="174"/>
      <c r="I22" s="174"/>
      <c r="J22" s="174"/>
      <c r="K22" s="177"/>
      <c r="L22" s="99"/>
      <c r="M22" s="99"/>
      <c r="N22" s="99"/>
      <c r="O22" s="99"/>
      <c r="R22" s="103" t="s">
        <v>614</v>
      </c>
    </row>
    <row r="23" spans="2:18" ht="20.100000000000001" customHeight="1">
      <c r="B23" s="173"/>
      <c r="C23" s="174" t="str">
        <f>IFERROR(VLOOKUP(D23,Tabela2[[Descrição]:[ID. Risco]],2,FALSE),"")</f>
        <v/>
      </c>
      <c r="D23" s="174"/>
      <c r="E23" s="174"/>
      <c r="F23" s="178"/>
      <c r="G23" s="174"/>
      <c r="H23" s="174"/>
      <c r="I23" s="174"/>
      <c r="J23" s="174"/>
      <c r="K23" s="177"/>
      <c r="L23" s="99"/>
      <c r="M23" s="99"/>
      <c r="N23" s="99"/>
      <c r="O23" s="99"/>
      <c r="R23" s="103" t="s">
        <v>615</v>
      </c>
    </row>
    <row r="24" spans="2:18" ht="20.100000000000001" customHeight="1">
      <c r="B24" s="173"/>
      <c r="C24" s="174" t="str">
        <f>IFERROR(VLOOKUP(D24,Tabela2[[Descrição]:[ID. Risco]],2,FALSE),"")</f>
        <v/>
      </c>
      <c r="D24" s="174"/>
      <c r="E24" s="174"/>
      <c r="F24" s="178"/>
      <c r="G24" s="174"/>
      <c r="H24" s="174"/>
      <c r="I24" s="174"/>
      <c r="J24" s="174"/>
      <c r="K24" s="177"/>
      <c r="L24" s="99"/>
      <c r="M24" s="99"/>
      <c r="N24" s="99"/>
      <c r="O24" s="99"/>
      <c r="R24" s="103" t="s">
        <v>616</v>
      </c>
    </row>
    <row r="25" spans="2:18" ht="20.100000000000001" customHeight="1">
      <c r="B25" s="173"/>
      <c r="C25" s="174" t="str">
        <f>IFERROR(VLOOKUP(D25,Tabela2[[Descrição]:[ID. Risco]],2,FALSE),"")</f>
        <v/>
      </c>
      <c r="D25" s="174"/>
      <c r="E25" s="174"/>
      <c r="F25" s="178"/>
      <c r="G25" s="174"/>
      <c r="H25" s="174"/>
      <c r="I25" s="174"/>
      <c r="J25" s="174"/>
      <c r="K25" s="177"/>
      <c r="L25" s="99"/>
      <c r="M25" s="99"/>
      <c r="N25" s="99"/>
      <c r="O25" s="99"/>
      <c r="R25" s="103" t="s">
        <v>617</v>
      </c>
    </row>
    <row r="26" spans="2:18" ht="20.100000000000001" customHeight="1">
      <c r="B26" s="173"/>
      <c r="C26" s="174" t="str">
        <f>IFERROR(VLOOKUP(D26,Tabela2[[Descrição]:[ID. Risco]],2,FALSE),"")</f>
        <v/>
      </c>
      <c r="D26" s="174"/>
      <c r="E26" s="174"/>
      <c r="F26" s="178"/>
      <c r="G26" s="174"/>
      <c r="H26" s="174"/>
      <c r="I26" s="174"/>
      <c r="J26" s="174"/>
      <c r="K26" s="177"/>
      <c r="L26" s="99"/>
      <c r="M26" s="99"/>
      <c r="N26" s="99"/>
      <c r="O26" s="99"/>
      <c r="R26" s="103" t="s">
        <v>618</v>
      </c>
    </row>
    <row r="27" spans="2:18" ht="20.100000000000001" customHeight="1">
      <c r="B27" s="173"/>
      <c r="C27" s="174" t="str">
        <f>IFERROR(VLOOKUP(D27,Tabela2[[Descrição]:[ID. Risco]],2,FALSE),"")</f>
        <v/>
      </c>
      <c r="D27" s="174"/>
      <c r="E27" s="174"/>
      <c r="F27" s="178"/>
      <c r="G27" s="174"/>
      <c r="H27" s="174"/>
      <c r="I27" s="174"/>
      <c r="J27" s="174"/>
      <c r="K27" s="177"/>
      <c r="L27" s="99"/>
      <c r="M27" s="99"/>
      <c r="N27" s="99"/>
      <c r="O27" s="99"/>
      <c r="R27" s="103" t="s">
        <v>619</v>
      </c>
    </row>
    <row r="28" spans="2:18" ht="20.100000000000001" customHeight="1">
      <c r="B28" s="179"/>
      <c r="C28" s="180" t="str">
        <f>IFERROR(VLOOKUP(D28,Tabela2[[Descrição]:[ID. Risco]],2,FALSE),"")</f>
        <v/>
      </c>
      <c r="D28" s="180"/>
      <c r="E28" s="180"/>
      <c r="F28" s="181"/>
      <c r="G28" s="180"/>
      <c r="H28" s="180"/>
      <c r="I28" s="180"/>
      <c r="J28" s="180"/>
      <c r="K28" s="182"/>
      <c r="L28" s="99"/>
      <c r="M28" s="99"/>
      <c r="N28" s="99"/>
      <c r="O28" s="99"/>
      <c r="R28" s="103" t="s">
        <v>620</v>
      </c>
    </row>
    <row r="29" spans="2:18">
      <c r="B29" s="167"/>
      <c r="C29" s="168" t="str">
        <f>IFERROR(VLOOKUP(D29,Tabela2[[Descrição]:[ID. Risco]],2,FALSE),"")</f>
        <v/>
      </c>
      <c r="D29" s="168"/>
      <c r="E29" s="169"/>
      <c r="F29" s="170"/>
      <c r="G29" s="171"/>
      <c r="H29" s="168"/>
      <c r="I29" s="168"/>
      <c r="J29" s="168"/>
      <c r="K29" s="172"/>
      <c r="L29" s="99"/>
      <c r="M29" s="99"/>
      <c r="N29" s="99"/>
      <c r="O29" s="99"/>
      <c r="R29" s="103" t="s">
        <v>621</v>
      </c>
    </row>
    <row r="30" spans="2:18">
      <c r="B30" s="173"/>
      <c r="C30" s="174" t="str">
        <f>IFERROR(VLOOKUP(D30,Tabela2[[Descrição]:[ID. Risco]],2,FALSE),"")</f>
        <v/>
      </c>
      <c r="D30" s="174"/>
      <c r="E30" s="175"/>
      <c r="F30" s="176"/>
      <c r="G30" s="51"/>
      <c r="H30" s="174"/>
      <c r="I30" s="174"/>
      <c r="J30" s="174"/>
      <c r="K30" s="177"/>
      <c r="L30" s="99"/>
      <c r="M30" s="99"/>
      <c r="N30" s="99"/>
      <c r="O30" s="99"/>
      <c r="R30" s="103" t="s">
        <v>622</v>
      </c>
    </row>
    <row r="31" spans="2:18">
      <c r="B31" s="173"/>
      <c r="C31" s="174" t="str">
        <f>IFERROR(VLOOKUP(D31,Tabela2[[Descrição]:[ID. Risco]],2,FALSE),"")</f>
        <v/>
      </c>
      <c r="D31" s="174"/>
      <c r="E31" s="175"/>
      <c r="F31" s="176"/>
      <c r="G31" s="51"/>
      <c r="H31" s="174"/>
      <c r="I31" s="174"/>
      <c r="J31" s="174"/>
      <c r="K31" s="177"/>
      <c r="L31" s="99"/>
      <c r="M31" s="99"/>
      <c r="N31" s="99"/>
      <c r="O31" s="99"/>
      <c r="R31" s="103" t="s">
        <v>623</v>
      </c>
    </row>
    <row r="32" spans="2:18">
      <c r="B32" s="173"/>
      <c r="C32" s="174" t="str">
        <f>IFERROR(VLOOKUP(D32,Tabela2[[Descrição]:[ID. Risco]],2,FALSE),"")</f>
        <v/>
      </c>
      <c r="D32" s="174"/>
      <c r="E32" s="175"/>
      <c r="F32" s="176"/>
      <c r="G32" s="51"/>
      <c r="H32" s="174"/>
      <c r="I32" s="174"/>
      <c r="J32" s="174"/>
      <c r="K32" s="177"/>
      <c r="L32" s="99"/>
      <c r="M32" s="99"/>
      <c r="N32" s="99"/>
      <c r="O32" s="99"/>
      <c r="R32" s="103" t="s">
        <v>624</v>
      </c>
    </row>
    <row r="33" spans="2:18">
      <c r="B33" s="173"/>
      <c r="C33" s="174" t="str">
        <f>IFERROR(VLOOKUP(D33,Tabela2[[Descrição]:[ID. Risco]],2,FALSE),"")</f>
        <v/>
      </c>
      <c r="D33" s="174"/>
      <c r="E33" s="175"/>
      <c r="F33" s="176"/>
      <c r="G33" s="51"/>
      <c r="H33" s="174"/>
      <c r="I33" s="174"/>
      <c r="J33" s="174"/>
      <c r="K33" s="177"/>
      <c r="L33" s="99"/>
      <c r="M33" s="99"/>
      <c r="N33" s="99"/>
      <c r="O33" s="99"/>
      <c r="R33" s="103" t="s">
        <v>625</v>
      </c>
    </row>
    <row r="34" spans="2:18">
      <c r="B34" s="173"/>
      <c r="C34" s="174" t="str">
        <f>IFERROR(VLOOKUP(D34,Tabela2[[Descrição]:[ID. Risco]],2,FALSE),"")</f>
        <v/>
      </c>
      <c r="D34" s="174"/>
      <c r="E34" s="175"/>
      <c r="F34" s="176"/>
      <c r="G34" s="51"/>
      <c r="H34" s="174"/>
      <c r="I34" s="174"/>
      <c r="J34" s="174"/>
      <c r="K34" s="177"/>
      <c r="L34" s="99"/>
      <c r="M34" s="99"/>
      <c r="N34" s="99"/>
      <c r="O34" s="99"/>
      <c r="R34" s="103" t="s">
        <v>626</v>
      </c>
    </row>
    <row r="35" spans="2:18">
      <c r="B35" s="173"/>
      <c r="C35" s="174" t="str">
        <f>IFERROR(VLOOKUP(D35,Tabela2[[Descrição]:[ID. Risco]],2,FALSE),"")</f>
        <v/>
      </c>
      <c r="D35" s="174"/>
      <c r="E35" s="175"/>
      <c r="F35" s="176"/>
      <c r="G35" s="51"/>
      <c r="H35" s="174"/>
      <c r="I35" s="174"/>
      <c r="J35" s="174"/>
      <c r="K35" s="177"/>
      <c r="L35" s="99"/>
      <c r="M35" s="99"/>
      <c r="N35" s="99"/>
      <c r="O35" s="99"/>
      <c r="R35" s="103" t="s">
        <v>627</v>
      </c>
    </row>
    <row r="36" spans="2:18">
      <c r="B36" s="173"/>
      <c r="C36" s="174" t="str">
        <f>IFERROR(VLOOKUP(D36,Tabela2[[Descrição]:[ID. Risco]],2,FALSE),"")</f>
        <v/>
      </c>
      <c r="D36" s="174"/>
      <c r="E36" s="175"/>
      <c r="F36" s="176"/>
      <c r="G36" s="51"/>
      <c r="H36" s="174"/>
      <c r="I36" s="174"/>
      <c r="J36" s="174"/>
      <c r="K36" s="177"/>
      <c r="L36" s="99"/>
      <c r="M36" s="99"/>
      <c r="N36" s="99"/>
      <c r="O36" s="99"/>
      <c r="R36" s="103" t="s">
        <v>628</v>
      </c>
    </row>
    <row r="37" spans="2:18">
      <c r="B37" s="173"/>
      <c r="C37" s="174" t="str">
        <f>IFERROR(VLOOKUP(D37,Tabela2[[Descrição]:[ID. Risco]],2,FALSE),"")</f>
        <v/>
      </c>
      <c r="D37" s="174"/>
      <c r="E37" s="175"/>
      <c r="F37" s="176"/>
      <c r="G37" s="51"/>
      <c r="H37" s="174"/>
      <c r="I37" s="174"/>
      <c r="J37" s="174"/>
      <c r="K37" s="177"/>
      <c r="L37" s="99"/>
      <c r="M37" s="99"/>
      <c r="N37" s="99"/>
      <c r="O37" s="99"/>
      <c r="R37" s="103" t="s">
        <v>629</v>
      </c>
    </row>
    <row r="38" spans="2:18">
      <c r="B38" s="173"/>
      <c r="C38" s="174" t="str">
        <f>IFERROR(VLOOKUP(D38,Tabela2[[Descrição]:[ID. Risco]],2,FALSE),"")</f>
        <v/>
      </c>
      <c r="D38" s="174"/>
      <c r="E38" s="175"/>
      <c r="F38" s="176"/>
      <c r="G38" s="51"/>
      <c r="H38" s="174"/>
      <c r="I38" s="174"/>
      <c r="J38" s="174"/>
      <c r="K38" s="177"/>
      <c r="L38" s="99"/>
      <c r="M38" s="99"/>
      <c r="N38" s="99"/>
      <c r="O38" s="99"/>
      <c r="R38" s="103" t="s">
        <v>630</v>
      </c>
    </row>
    <row r="39" spans="2:18">
      <c r="B39" s="173"/>
      <c r="C39" s="174" t="str">
        <f>IFERROR(VLOOKUP(D39,Tabela2[[Descrição]:[ID. Risco]],2,FALSE),"")</f>
        <v/>
      </c>
      <c r="D39" s="174"/>
      <c r="E39" s="175"/>
      <c r="F39" s="176"/>
      <c r="G39" s="51"/>
      <c r="H39" s="174"/>
      <c r="I39" s="174"/>
      <c r="J39" s="174"/>
      <c r="K39" s="177"/>
      <c r="L39" s="99"/>
      <c r="M39" s="99"/>
      <c r="N39" s="99"/>
      <c r="O39" s="99"/>
      <c r="R39" s="103" t="s">
        <v>631</v>
      </c>
    </row>
    <row r="40" spans="2:18">
      <c r="B40" s="173"/>
      <c r="C40" s="174" t="str">
        <f>IFERROR(VLOOKUP(D40,Tabela2[[Descrição]:[ID. Risco]],2,FALSE),"")</f>
        <v/>
      </c>
      <c r="D40" s="174"/>
      <c r="E40" s="175"/>
      <c r="F40" s="176"/>
      <c r="G40" s="51"/>
      <c r="H40" s="174"/>
      <c r="I40" s="174"/>
      <c r="J40" s="174"/>
      <c r="K40" s="177"/>
      <c r="L40" s="99"/>
      <c r="M40" s="99"/>
      <c r="N40" s="99"/>
      <c r="O40" s="99"/>
      <c r="R40" s="103" t="s">
        <v>632</v>
      </c>
    </row>
    <row r="41" spans="2:18">
      <c r="B41" s="173"/>
      <c r="C41" s="174" t="str">
        <f>IFERROR(VLOOKUP(D41,Tabela2[[Descrição]:[ID. Risco]],2,FALSE),"")</f>
        <v/>
      </c>
      <c r="D41" s="174"/>
      <c r="E41" s="174"/>
      <c r="F41" s="178"/>
      <c r="G41" s="174"/>
      <c r="H41" s="174"/>
      <c r="I41" s="174"/>
      <c r="J41" s="174"/>
      <c r="K41" s="177"/>
      <c r="L41" s="99"/>
      <c r="M41" s="99"/>
      <c r="N41" s="99"/>
      <c r="O41" s="99"/>
      <c r="R41" s="103" t="s">
        <v>633</v>
      </c>
    </row>
    <row r="42" spans="2:18">
      <c r="B42" s="173"/>
      <c r="C42" s="174" t="str">
        <f>IFERROR(VLOOKUP(D42,Tabela2[[Descrição]:[ID. Risco]],2,FALSE),"")</f>
        <v/>
      </c>
      <c r="D42" s="174"/>
      <c r="E42" s="174"/>
      <c r="F42" s="178"/>
      <c r="G42" s="174"/>
      <c r="H42" s="174"/>
      <c r="I42" s="174"/>
      <c r="J42" s="174"/>
      <c r="K42" s="177"/>
      <c r="L42" s="99"/>
      <c r="M42" s="99"/>
      <c r="N42" s="99"/>
      <c r="O42" s="99"/>
      <c r="R42" s="103" t="s">
        <v>634</v>
      </c>
    </row>
    <row r="43" spans="2:18">
      <c r="B43" s="173"/>
      <c r="C43" s="174" t="str">
        <f>IFERROR(VLOOKUP(D43,Tabela2[[Descrição]:[ID. Risco]],2,FALSE),"")</f>
        <v/>
      </c>
      <c r="D43" s="174"/>
      <c r="E43" s="174"/>
      <c r="F43" s="178"/>
      <c r="G43" s="174"/>
      <c r="H43" s="174"/>
      <c r="I43" s="174"/>
      <c r="J43" s="174"/>
      <c r="K43" s="177"/>
      <c r="L43" s="99"/>
      <c r="M43" s="99"/>
      <c r="N43" s="99"/>
      <c r="O43" s="99"/>
      <c r="R43" s="103" t="s">
        <v>635</v>
      </c>
    </row>
    <row r="44" spans="2:18">
      <c r="B44" s="173"/>
      <c r="C44" s="174" t="str">
        <f>IFERROR(VLOOKUP(D44,Tabela2[[Descrição]:[ID. Risco]],2,FALSE),"")</f>
        <v/>
      </c>
      <c r="D44" s="174"/>
      <c r="E44" s="174"/>
      <c r="F44" s="178"/>
      <c r="G44" s="174"/>
      <c r="H44" s="174"/>
      <c r="I44" s="174"/>
      <c r="J44" s="174"/>
      <c r="K44" s="177"/>
      <c r="L44" s="99"/>
      <c r="M44" s="99"/>
      <c r="N44" s="99"/>
      <c r="O44" s="99"/>
      <c r="R44" s="103" t="s">
        <v>636</v>
      </c>
    </row>
    <row r="45" spans="2:18">
      <c r="B45" s="173"/>
      <c r="C45" s="174" t="str">
        <f>IFERROR(VLOOKUP(D45,Tabela2[[Descrição]:[ID. Risco]],2,FALSE),"")</f>
        <v/>
      </c>
      <c r="D45" s="174"/>
      <c r="E45" s="174"/>
      <c r="F45" s="178"/>
      <c r="G45" s="174"/>
      <c r="H45" s="174"/>
      <c r="I45" s="174"/>
      <c r="J45" s="174"/>
      <c r="K45" s="177"/>
      <c r="L45" s="99"/>
      <c r="M45" s="99"/>
      <c r="N45" s="99"/>
      <c r="O45" s="99"/>
      <c r="R45" s="103" t="s">
        <v>637</v>
      </c>
    </row>
    <row r="46" spans="2:18">
      <c r="B46" s="173"/>
      <c r="C46" s="174" t="str">
        <f>IFERROR(VLOOKUP(D46,Tabela2[[Descrição]:[ID. Risco]],2,FALSE),"")</f>
        <v/>
      </c>
      <c r="D46" s="174"/>
      <c r="E46" s="174"/>
      <c r="F46" s="178"/>
      <c r="G46" s="174"/>
      <c r="H46" s="174"/>
      <c r="I46" s="174"/>
      <c r="J46" s="174"/>
      <c r="K46" s="177"/>
      <c r="L46" s="99"/>
      <c r="M46" s="99"/>
      <c r="N46" s="99"/>
      <c r="O46" s="99"/>
      <c r="R46" s="103" t="s">
        <v>638</v>
      </c>
    </row>
    <row r="47" spans="2:18">
      <c r="B47" s="173"/>
      <c r="C47" s="174" t="str">
        <f>IFERROR(VLOOKUP(D47,Tabela2[[Descrição]:[ID. Risco]],2,FALSE),"")</f>
        <v/>
      </c>
      <c r="D47" s="174"/>
      <c r="E47" s="174"/>
      <c r="F47" s="178"/>
      <c r="G47" s="174"/>
      <c r="H47" s="174"/>
      <c r="I47" s="174"/>
      <c r="J47" s="174"/>
      <c r="K47" s="177"/>
      <c r="L47" s="99"/>
      <c r="M47" s="99"/>
      <c r="N47" s="99"/>
      <c r="O47" s="99"/>
      <c r="R47" s="103" t="s">
        <v>639</v>
      </c>
    </row>
    <row r="48" spans="2:18">
      <c r="B48" s="173"/>
      <c r="C48" s="174" t="str">
        <f>IFERROR(VLOOKUP(D48,Tabela2[[Descrição]:[ID. Risco]],2,FALSE),"")</f>
        <v/>
      </c>
      <c r="D48" s="174"/>
      <c r="E48" s="174"/>
      <c r="F48" s="178"/>
      <c r="G48" s="174"/>
      <c r="H48" s="174"/>
      <c r="I48" s="174"/>
      <c r="J48" s="174"/>
      <c r="K48" s="177"/>
      <c r="L48" s="99"/>
      <c r="M48" s="99"/>
      <c r="N48" s="99"/>
      <c r="O48" s="99"/>
      <c r="R48" s="103" t="s">
        <v>640</v>
      </c>
    </row>
    <row r="49" spans="2:18">
      <c r="B49" s="173"/>
      <c r="C49" s="174" t="str">
        <f>IFERROR(VLOOKUP(D49,Tabela2[[Descrição]:[ID. Risco]],2,FALSE),"")</f>
        <v/>
      </c>
      <c r="D49" s="174"/>
      <c r="E49" s="174"/>
      <c r="F49" s="178"/>
      <c r="G49" s="174"/>
      <c r="H49" s="174"/>
      <c r="I49" s="174"/>
      <c r="J49" s="174"/>
      <c r="K49" s="177"/>
      <c r="L49" s="99"/>
      <c r="M49" s="99"/>
      <c r="N49" s="99"/>
      <c r="O49" s="99"/>
      <c r="R49" s="103" t="s">
        <v>641</v>
      </c>
    </row>
    <row r="50" spans="2:18">
      <c r="B50" s="173"/>
      <c r="C50" s="174" t="str">
        <f>IFERROR(VLOOKUP(D50,Tabela2[[Descrição]:[ID. Risco]],2,FALSE),"")</f>
        <v/>
      </c>
      <c r="D50" s="174"/>
      <c r="E50" s="174"/>
      <c r="F50" s="178"/>
      <c r="G50" s="174"/>
      <c r="H50" s="174"/>
      <c r="I50" s="174"/>
      <c r="J50" s="174"/>
      <c r="K50" s="177"/>
      <c r="L50" s="99"/>
      <c r="M50" s="99"/>
      <c r="N50" s="99"/>
      <c r="O50" s="99"/>
      <c r="R50" s="103" t="s">
        <v>642</v>
      </c>
    </row>
    <row r="51" spans="2:18">
      <c r="B51" s="173"/>
      <c r="C51" s="174" t="str">
        <f>IFERROR(VLOOKUP(D51,Tabela2[[Descrição]:[ID. Risco]],2,FALSE),"")</f>
        <v/>
      </c>
      <c r="D51" s="174"/>
      <c r="E51" s="174"/>
      <c r="F51" s="178"/>
      <c r="G51" s="174"/>
      <c r="H51" s="174"/>
      <c r="I51" s="174"/>
      <c r="J51" s="174"/>
      <c r="K51" s="177"/>
      <c r="L51" s="99"/>
      <c r="M51" s="99"/>
      <c r="N51" s="99"/>
      <c r="O51" s="99"/>
      <c r="R51" s="103" t="s">
        <v>643</v>
      </c>
    </row>
    <row r="52" spans="2:18">
      <c r="B52" s="173"/>
      <c r="C52" s="174" t="str">
        <f>IFERROR(VLOOKUP(D52,Tabela2[[Descrição]:[ID. Risco]],2,FALSE),"")</f>
        <v/>
      </c>
      <c r="D52" s="174"/>
      <c r="E52" s="174"/>
      <c r="F52" s="178"/>
      <c r="G52" s="174"/>
      <c r="H52" s="174"/>
      <c r="I52" s="174"/>
      <c r="J52" s="174"/>
      <c r="K52" s="177"/>
      <c r="L52" s="99"/>
      <c r="M52" s="99"/>
      <c r="N52" s="99"/>
      <c r="O52" s="99"/>
      <c r="R52" s="103" t="s">
        <v>644</v>
      </c>
    </row>
    <row r="53" spans="2:18">
      <c r="B53" s="179"/>
      <c r="C53" s="180" t="str">
        <f>IFERROR(VLOOKUP(D53,Tabela2[[Descrição]:[ID. Risco]],2,FALSE),"")</f>
        <v/>
      </c>
      <c r="D53" s="180"/>
      <c r="E53" s="180"/>
      <c r="F53" s="181"/>
      <c r="G53" s="180"/>
      <c r="H53" s="180"/>
      <c r="I53" s="180"/>
      <c r="J53" s="180"/>
      <c r="K53" s="182"/>
      <c r="L53" s="99"/>
      <c r="M53" s="99"/>
      <c r="N53" s="99"/>
      <c r="O53" s="99"/>
      <c r="R53" s="103" t="s">
        <v>645</v>
      </c>
    </row>
    <row r="54" spans="2:18">
      <c r="B54" s="167"/>
      <c r="C54" s="168" t="str">
        <f>IFERROR(VLOOKUP(D54,Tabela2[[Descrição]:[ID. Risco]],2,FALSE),"")</f>
        <v/>
      </c>
      <c r="D54" s="168"/>
      <c r="E54" s="169"/>
      <c r="F54" s="170"/>
      <c r="G54" s="171"/>
      <c r="H54" s="168"/>
      <c r="I54" s="168"/>
      <c r="J54" s="168"/>
      <c r="K54" s="172"/>
      <c r="L54" s="99"/>
      <c r="M54" s="99"/>
      <c r="N54" s="99"/>
      <c r="O54" s="99"/>
      <c r="R54" s="103" t="s">
        <v>646</v>
      </c>
    </row>
    <row r="55" spans="2:18">
      <c r="B55" s="173"/>
      <c r="C55" s="174" t="str">
        <f>IFERROR(VLOOKUP(D55,Tabela2[[Descrição]:[ID. Risco]],2,FALSE),"")</f>
        <v/>
      </c>
      <c r="D55" s="174"/>
      <c r="E55" s="175"/>
      <c r="F55" s="176"/>
      <c r="G55" s="51"/>
      <c r="H55" s="174"/>
      <c r="I55" s="174"/>
      <c r="J55" s="174"/>
      <c r="K55" s="177"/>
      <c r="L55" s="99"/>
      <c r="M55" s="99"/>
      <c r="N55" s="99"/>
      <c r="O55" s="99"/>
      <c r="R55" s="103" t="s">
        <v>647</v>
      </c>
    </row>
    <row r="56" spans="2:18">
      <c r="B56" s="173"/>
      <c r="C56" s="174" t="str">
        <f>IFERROR(VLOOKUP(D56,Tabela2[[Descrição]:[ID. Risco]],2,FALSE),"")</f>
        <v/>
      </c>
      <c r="D56" s="174"/>
      <c r="E56" s="175"/>
      <c r="F56" s="176"/>
      <c r="G56" s="51"/>
      <c r="H56" s="174"/>
      <c r="I56" s="174"/>
      <c r="J56" s="174"/>
      <c r="K56" s="177"/>
      <c r="L56" s="99"/>
      <c r="M56" s="99"/>
      <c r="N56" s="99"/>
      <c r="O56" s="99"/>
      <c r="R56" s="103" t="s">
        <v>648</v>
      </c>
    </row>
    <row r="57" spans="2:18">
      <c r="B57" s="173"/>
      <c r="C57" s="174" t="str">
        <f>IFERROR(VLOOKUP(D57,Tabela2[[Descrição]:[ID. Risco]],2,FALSE),"")</f>
        <v/>
      </c>
      <c r="D57" s="174"/>
      <c r="E57" s="175"/>
      <c r="F57" s="176"/>
      <c r="G57" s="51"/>
      <c r="H57" s="174"/>
      <c r="I57" s="174"/>
      <c r="J57" s="174"/>
      <c r="K57" s="177"/>
      <c r="L57" s="99"/>
      <c r="M57" s="99"/>
      <c r="N57" s="99"/>
      <c r="O57" s="99"/>
      <c r="R57" s="103" t="s">
        <v>649</v>
      </c>
    </row>
    <row r="58" spans="2:18">
      <c r="B58" s="173"/>
      <c r="C58" s="174" t="str">
        <f>IFERROR(VLOOKUP(D58,Tabela2[[Descrição]:[ID. Risco]],2,FALSE),"")</f>
        <v/>
      </c>
      <c r="D58" s="174"/>
      <c r="E58" s="175"/>
      <c r="F58" s="176"/>
      <c r="G58" s="51"/>
      <c r="H58" s="174"/>
      <c r="I58" s="174"/>
      <c r="J58" s="174"/>
      <c r="K58" s="177"/>
      <c r="L58" s="99"/>
      <c r="M58" s="99"/>
      <c r="N58" s="99"/>
      <c r="O58" s="99"/>
      <c r="R58" s="103" t="s">
        <v>650</v>
      </c>
    </row>
    <row r="59" spans="2:18">
      <c r="B59" s="173"/>
      <c r="C59" s="174" t="str">
        <f>IFERROR(VLOOKUP(D59,Tabela2[[Descrição]:[ID. Risco]],2,FALSE),"")</f>
        <v/>
      </c>
      <c r="D59" s="174"/>
      <c r="E59" s="175"/>
      <c r="F59" s="176"/>
      <c r="G59" s="51"/>
      <c r="H59" s="174"/>
      <c r="I59" s="174"/>
      <c r="J59" s="174"/>
      <c r="K59" s="177"/>
      <c r="L59" s="99"/>
      <c r="M59" s="99"/>
      <c r="N59" s="99"/>
      <c r="O59" s="99"/>
      <c r="R59" s="103" t="s">
        <v>651</v>
      </c>
    </row>
    <row r="60" spans="2:18">
      <c r="B60" s="173"/>
      <c r="C60" s="174" t="str">
        <f>IFERROR(VLOOKUP(D60,Tabela2[[Descrição]:[ID. Risco]],2,FALSE),"")</f>
        <v/>
      </c>
      <c r="D60" s="174"/>
      <c r="E60" s="175"/>
      <c r="F60" s="176"/>
      <c r="G60" s="51"/>
      <c r="H60" s="174"/>
      <c r="I60" s="174"/>
      <c r="J60" s="174"/>
      <c r="K60" s="177"/>
      <c r="L60" s="99"/>
      <c r="M60" s="99"/>
      <c r="N60" s="99"/>
      <c r="O60" s="99"/>
      <c r="R60" s="103" t="s">
        <v>652</v>
      </c>
    </row>
    <row r="61" spans="2:18">
      <c r="B61" s="173"/>
      <c r="C61" s="174" t="str">
        <f>IFERROR(VLOOKUP(D61,Tabela2[[Descrição]:[ID. Risco]],2,FALSE),"")</f>
        <v/>
      </c>
      <c r="D61" s="174"/>
      <c r="E61" s="175"/>
      <c r="F61" s="176"/>
      <c r="G61" s="51"/>
      <c r="H61" s="174"/>
      <c r="I61" s="174"/>
      <c r="J61" s="174"/>
      <c r="K61" s="177"/>
      <c r="L61" s="99"/>
      <c r="M61" s="99"/>
      <c r="N61" s="99"/>
      <c r="O61" s="99"/>
      <c r="R61" s="103" t="s">
        <v>653</v>
      </c>
    </row>
    <row r="62" spans="2:18">
      <c r="B62" s="173"/>
      <c r="C62" s="174" t="str">
        <f>IFERROR(VLOOKUP(D62,Tabela2[[Descrição]:[ID. Risco]],2,FALSE),"")</f>
        <v/>
      </c>
      <c r="D62" s="174"/>
      <c r="E62" s="175"/>
      <c r="F62" s="176"/>
      <c r="G62" s="51"/>
      <c r="H62" s="174"/>
      <c r="I62" s="174"/>
      <c r="J62" s="174"/>
      <c r="K62" s="177"/>
      <c r="L62" s="99"/>
      <c r="M62" s="99"/>
      <c r="N62" s="99"/>
      <c r="O62" s="99"/>
      <c r="R62" s="103" t="s">
        <v>654</v>
      </c>
    </row>
    <row r="63" spans="2:18">
      <c r="B63" s="173"/>
      <c r="C63" s="174" t="str">
        <f>IFERROR(VLOOKUP(D63,Tabela2[[Descrição]:[ID. Risco]],2,FALSE),"")</f>
        <v/>
      </c>
      <c r="D63" s="174"/>
      <c r="E63" s="175"/>
      <c r="F63" s="176"/>
      <c r="G63" s="51"/>
      <c r="H63" s="174"/>
      <c r="I63" s="174"/>
      <c r="J63" s="174"/>
      <c r="K63" s="177"/>
      <c r="L63" s="99"/>
      <c r="M63" s="99"/>
      <c r="N63" s="99"/>
      <c r="O63" s="99"/>
      <c r="R63" s="103" t="s">
        <v>655</v>
      </c>
    </row>
    <row r="64" spans="2:18">
      <c r="B64" s="173"/>
      <c r="C64" s="174" t="str">
        <f>IFERROR(VLOOKUP(D64,Tabela2[[Descrição]:[ID. Risco]],2,FALSE),"")</f>
        <v/>
      </c>
      <c r="D64" s="174"/>
      <c r="E64" s="175"/>
      <c r="F64" s="176"/>
      <c r="G64" s="51"/>
      <c r="H64" s="174"/>
      <c r="I64" s="174"/>
      <c r="J64" s="174"/>
      <c r="K64" s="177"/>
      <c r="L64" s="99"/>
      <c r="M64" s="99"/>
      <c r="N64" s="99"/>
      <c r="O64" s="99"/>
      <c r="R64" s="103" t="s">
        <v>656</v>
      </c>
    </row>
    <row r="65" spans="2:18">
      <c r="B65" s="173"/>
      <c r="C65" s="174" t="str">
        <f>IFERROR(VLOOKUP(D65,Tabela2[[Descrição]:[ID. Risco]],2,FALSE),"")</f>
        <v/>
      </c>
      <c r="D65" s="174"/>
      <c r="E65" s="175"/>
      <c r="F65" s="176"/>
      <c r="G65" s="51"/>
      <c r="H65" s="174"/>
      <c r="I65" s="174"/>
      <c r="J65" s="174"/>
      <c r="K65" s="177"/>
      <c r="L65" s="99"/>
      <c r="M65" s="99"/>
      <c r="N65" s="99"/>
      <c r="O65" s="99"/>
      <c r="R65" s="103" t="s">
        <v>657</v>
      </c>
    </row>
    <row r="66" spans="2:18">
      <c r="B66" s="173"/>
      <c r="C66" s="174" t="str">
        <f>IFERROR(VLOOKUP(D66,Tabela2[[Descrição]:[ID. Risco]],2,FALSE),"")</f>
        <v/>
      </c>
      <c r="D66" s="174"/>
      <c r="E66" s="174"/>
      <c r="F66" s="178"/>
      <c r="G66" s="174"/>
      <c r="H66" s="174"/>
      <c r="I66" s="174"/>
      <c r="J66" s="174"/>
      <c r="K66" s="177"/>
      <c r="L66" s="99"/>
      <c r="M66" s="99"/>
      <c r="N66" s="99"/>
      <c r="O66" s="99"/>
      <c r="R66" s="103" t="s">
        <v>658</v>
      </c>
    </row>
    <row r="67" spans="2:18">
      <c r="B67" s="173"/>
      <c r="C67" s="174" t="str">
        <f>IFERROR(VLOOKUP(D67,Tabela2[[Descrição]:[ID. Risco]],2,FALSE),"")</f>
        <v/>
      </c>
      <c r="D67" s="174"/>
      <c r="E67" s="174"/>
      <c r="F67" s="178"/>
      <c r="G67" s="174"/>
      <c r="H67" s="174"/>
      <c r="I67" s="174"/>
      <c r="J67" s="174"/>
      <c r="K67" s="177"/>
      <c r="L67" s="99"/>
      <c r="M67" s="99"/>
      <c r="N67" s="99"/>
      <c r="O67" s="99"/>
      <c r="R67" s="103" t="s">
        <v>659</v>
      </c>
    </row>
    <row r="68" spans="2:18">
      <c r="B68" s="173"/>
      <c r="C68" s="174" t="str">
        <f>IFERROR(VLOOKUP(D68,Tabela2[[Descrição]:[ID. Risco]],2,FALSE),"")</f>
        <v/>
      </c>
      <c r="D68" s="174"/>
      <c r="E68" s="174"/>
      <c r="F68" s="178"/>
      <c r="G68" s="174"/>
      <c r="H68" s="174"/>
      <c r="I68" s="174"/>
      <c r="J68" s="174"/>
      <c r="K68" s="177"/>
      <c r="L68" s="99"/>
      <c r="M68" s="99"/>
      <c r="N68" s="99"/>
      <c r="O68" s="99"/>
      <c r="R68" s="103" t="s">
        <v>660</v>
      </c>
    </row>
    <row r="69" spans="2:18">
      <c r="B69" s="173"/>
      <c r="C69" s="174" t="str">
        <f>IFERROR(VLOOKUP(D69,Tabela2[[Descrição]:[ID. Risco]],2,FALSE),"")</f>
        <v/>
      </c>
      <c r="D69" s="174"/>
      <c r="E69" s="174"/>
      <c r="F69" s="178"/>
      <c r="G69" s="174"/>
      <c r="H69" s="174"/>
      <c r="I69" s="174"/>
      <c r="J69" s="174"/>
      <c r="K69" s="177"/>
      <c r="L69" s="99"/>
      <c r="M69" s="99"/>
      <c r="N69" s="99"/>
      <c r="O69" s="99"/>
      <c r="R69" s="103" t="s">
        <v>661</v>
      </c>
    </row>
    <row r="70" spans="2:18">
      <c r="B70" s="173"/>
      <c r="C70" s="174" t="str">
        <f>IFERROR(VLOOKUP(D70,Tabela2[[Descrição]:[ID. Risco]],2,FALSE),"")</f>
        <v/>
      </c>
      <c r="D70" s="174"/>
      <c r="E70" s="174"/>
      <c r="F70" s="178"/>
      <c r="G70" s="174"/>
      <c r="H70" s="174"/>
      <c r="I70" s="174"/>
      <c r="J70" s="174"/>
      <c r="K70" s="177"/>
      <c r="L70" s="99"/>
      <c r="M70" s="99"/>
      <c r="N70" s="99"/>
      <c r="O70" s="99"/>
      <c r="R70" s="103" t="s">
        <v>662</v>
      </c>
    </row>
    <row r="71" spans="2:18">
      <c r="B71" s="173"/>
      <c r="C71" s="174" t="str">
        <f>IFERROR(VLOOKUP(D71,Tabela2[[Descrição]:[ID. Risco]],2,FALSE),"")</f>
        <v/>
      </c>
      <c r="D71" s="174"/>
      <c r="E71" s="174"/>
      <c r="F71" s="178"/>
      <c r="G71" s="174"/>
      <c r="H71" s="174"/>
      <c r="I71" s="174"/>
      <c r="J71" s="174"/>
      <c r="K71" s="177"/>
      <c r="L71" s="99"/>
      <c r="M71" s="99"/>
      <c r="N71" s="99"/>
      <c r="O71" s="99"/>
      <c r="R71" s="103" t="s">
        <v>663</v>
      </c>
    </row>
    <row r="72" spans="2:18">
      <c r="B72" s="173"/>
      <c r="C72" s="174" t="str">
        <f>IFERROR(VLOOKUP(D72,Tabela2[[Descrição]:[ID. Risco]],2,FALSE),"")</f>
        <v/>
      </c>
      <c r="D72" s="174"/>
      <c r="E72" s="174"/>
      <c r="F72" s="178"/>
      <c r="G72" s="174"/>
      <c r="H72" s="174"/>
      <c r="I72" s="174"/>
      <c r="J72" s="174"/>
      <c r="K72" s="177"/>
      <c r="L72" s="99"/>
      <c r="M72" s="99"/>
      <c r="N72" s="99"/>
      <c r="O72" s="99"/>
      <c r="R72" s="103" t="s">
        <v>664</v>
      </c>
    </row>
    <row r="73" spans="2:18">
      <c r="B73" s="173"/>
      <c r="C73" s="174" t="str">
        <f>IFERROR(VLOOKUP(D73,Tabela2[[Descrição]:[ID. Risco]],2,FALSE),"")</f>
        <v/>
      </c>
      <c r="D73" s="174"/>
      <c r="E73" s="174"/>
      <c r="F73" s="178"/>
      <c r="G73" s="174"/>
      <c r="H73" s="174"/>
      <c r="I73" s="174"/>
      <c r="J73" s="174"/>
      <c r="K73" s="177"/>
      <c r="L73" s="99"/>
      <c r="M73" s="99"/>
      <c r="N73" s="99"/>
      <c r="O73" s="99"/>
      <c r="R73" s="103" t="s">
        <v>665</v>
      </c>
    </row>
    <row r="74" spans="2:18">
      <c r="B74" s="173"/>
      <c r="C74" s="174" t="str">
        <f>IFERROR(VLOOKUP(D74,Tabela2[[Descrição]:[ID. Risco]],2,FALSE),"")</f>
        <v/>
      </c>
      <c r="D74" s="174"/>
      <c r="E74" s="174"/>
      <c r="F74" s="178"/>
      <c r="G74" s="174"/>
      <c r="H74" s="174"/>
      <c r="I74" s="174"/>
      <c r="J74" s="174"/>
      <c r="K74" s="177"/>
      <c r="L74" s="99"/>
      <c r="M74" s="99"/>
      <c r="N74" s="99"/>
      <c r="O74" s="99"/>
      <c r="R74" s="103" t="s">
        <v>666</v>
      </c>
    </row>
    <row r="75" spans="2:18">
      <c r="B75" s="173"/>
      <c r="C75" s="174" t="str">
        <f>IFERROR(VLOOKUP(D75,Tabela2[[Descrição]:[ID. Risco]],2,FALSE),"")</f>
        <v/>
      </c>
      <c r="D75" s="174"/>
      <c r="E75" s="174"/>
      <c r="F75" s="178"/>
      <c r="G75" s="174"/>
      <c r="H75" s="174"/>
      <c r="I75" s="174"/>
      <c r="J75" s="174"/>
      <c r="K75" s="177"/>
      <c r="L75" s="99"/>
      <c r="M75" s="99"/>
      <c r="N75" s="99"/>
      <c r="O75" s="99"/>
      <c r="R75" s="103" t="s">
        <v>667</v>
      </c>
    </row>
    <row r="76" spans="2:18">
      <c r="B76" s="173"/>
      <c r="C76" s="174" t="str">
        <f>IFERROR(VLOOKUP(D76,Tabela2[[Descrição]:[ID. Risco]],2,FALSE),"")</f>
        <v/>
      </c>
      <c r="D76" s="174"/>
      <c r="E76" s="174"/>
      <c r="F76" s="178"/>
      <c r="G76" s="174"/>
      <c r="H76" s="174"/>
      <c r="I76" s="174"/>
      <c r="J76" s="174"/>
      <c r="K76" s="177"/>
      <c r="L76" s="99"/>
      <c r="M76" s="99"/>
      <c r="N76" s="99"/>
      <c r="O76" s="99"/>
      <c r="R76" s="103" t="s">
        <v>668</v>
      </c>
    </row>
    <row r="77" spans="2:18">
      <c r="B77" s="173"/>
      <c r="C77" s="174" t="str">
        <f>IFERROR(VLOOKUP(D77,Tabela2[[Descrição]:[ID. Risco]],2,FALSE),"")</f>
        <v/>
      </c>
      <c r="D77" s="174"/>
      <c r="E77" s="174"/>
      <c r="F77" s="178"/>
      <c r="G77" s="174"/>
      <c r="H77" s="174"/>
      <c r="I77" s="174"/>
      <c r="J77" s="174"/>
      <c r="K77" s="177"/>
      <c r="L77" s="99"/>
      <c r="M77" s="99"/>
      <c r="N77" s="99"/>
      <c r="O77" s="99"/>
      <c r="R77" s="103" t="s">
        <v>669</v>
      </c>
    </row>
    <row r="78" spans="2:18">
      <c r="B78" s="179"/>
      <c r="C78" s="180" t="str">
        <f>IFERROR(VLOOKUP(D78,Tabela2[[Descrição]:[ID. Risco]],2,FALSE),"")</f>
        <v/>
      </c>
      <c r="D78" s="180"/>
      <c r="E78" s="180"/>
      <c r="F78" s="181"/>
      <c r="G78" s="180"/>
      <c r="H78" s="180"/>
      <c r="I78" s="180"/>
      <c r="J78" s="180"/>
      <c r="K78" s="182"/>
      <c r="L78" s="99"/>
      <c r="M78" s="99"/>
      <c r="N78" s="99"/>
      <c r="O78" s="99"/>
      <c r="R78" s="103" t="s">
        <v>670</v>
      </c>
    </row>
    <row r="79" spans="2:18">
      <c r="B79" s="167"/>
      <c r="C79" s="168" t="str">
        <f>IFERROR(VLOOKUP(D79,Tabela2[[Descrição]:[ID. Risco]],2,FALSE),"")</f>
        <v/>
      </c>
      <c r="D79" s="168"/>
      <c r="E79" s="169"/>
      <c r="F79" s="170"/>
      <c r="G79" s="171"/>
      <c r="H79" s="168"/>
      <c r="I79" s="168"/>
      <c r="J79" s="168"/>
      <c r="K79" s="172"/>
      <c r="L79" s="99"/>
      <c r="M79" s="99"/>
      <c r="N79" s="99"/>
      <c r="O79" s="99"/>
      <c r="R79" s="103" t="s">
        <v>671</v>
      </c>
    </row>
    <row r="80" spans="2:18">
      <c r="B80" s="173"/>
      <c r="C80" s="174" t="str">
        <f>IFERROR(VLOOKUP(D80,Tabela2[[Descrição]:[ID. Risco]],2,FALSE),"")</f>
        <v/>
      </c>
      <c r="D80" s="174"/>
      <c r="E80" s="175"/>
      <c r="F80" s="176"/>
      <c r="G80" s="51"/>
      <c r="H80" s="174"/>
      <c r="I80" s="174"/>
      <c r="J80" s="174"/>
      <c r="K80" s="177"/>
      <c r="L80" s="99"/>
      <c r="M80" s="99"/>
      <c r="N80" s="99"/>
      <c r="O80" s="99"/>
      <c r="R80" s="103" t="s">
        <v>672</v>
      </c>
    </row>
    <row r="81" spans="2:18">
      <c r="B81" s="173"/>
      <c r="C81" s="174" t="str">
        <f>IFERROR(VLOOKUP(D81,Tabela2[[Descrição]:[ID. Risco]],2,FALSE),"")</f>
        <v/>
      </c>
      <c r="D81" s="174"/>
      <c r="E81" s="175"/>
      <c r="F81" s="176"/>
      <c r="G81" s="51"/>
      <c r="H81" s="174"/>
      <c r="I81" s="174"/>
      <c r="J81" s="174"/>
      <c r="K81" s="177"/>
      <c r="L81" s="99"/>
      <c r="M81" s="99"/>
      <c r="N81" s="99"/>
      <c r="O81" s="99"/>
      <c r="R81" s="103" t="s">
        <v>673</v>
      </c>
    </row>
    <row r="82" spans="2:18">
      <c r="B82" s="173"/>
      <c r="C82" s="174" t="str">
        <f>IFERROR(VLOOKUP(D82,Tabela2[[Descrição]:[ID. Risco]],2,FALSE),"")</f>
        <v/>
      </c>
      <c r="D82" s="174"/>
      <c r="E82" s="175"/>
      <c r="F82" s="176"/>
      <c r="G82" s="51"/>
      <c r="H82" s="174"/>
      <c r="I82" s="174"/>
      <c r="J82" s="174"/>
      <c r="K82" s="177"/>
      <c r="L82" s="99"/>
      <c r="M82" s="99"/>
      <c r="N82" s="99"/>
      <c r="O82" s="99"/>
      <c r="R82" s="103" t="s">
        <v>674</v>
      </c>
    </row>
    <row r="83" spans="2:18">
      <c r="B83" s="173"/>
      <c r="C83" s="174" t="str">
        <f>IFERROR(VLOOKUP(D83,Tabela2[[Descrição]:[ID. Risco]],2,FALSE),"")</f>
        <v/>
      </c>
      <c r="D83" s="174"/>
      <c r="E83" s="175"/>
      <c r="F83" s="176"/>
      <c r="G83" s="51"/>
      <c r="H83" s="174"/>
      <c r="I83" s="174"/>
      <c r="J83" s="174"/>
      <c r="K83" s="177"/>
      <c r="L83" s="99"/>
      <c r="M83" s="99"/>
      <c r="N83" s="99"/>
      <c r="O83" s="99"/>
      <c r="R83" s="103" t="s">
        <v>675</v>
      </c>
    </row>
    <row r="84" spans="2:18">
      <c r="B84" s="173"/>
      <c r="C84" s="174" t="str">
        <f>IFERROR(VLOOKUP(D84,Tabela2[[Descrição]:[ID. Risco]],2,FALSE),"")</f>
        <v/>
      </c>
      <c r="D84" s="174"/>
      <c r="E84" s="175"/>
      <c r="F84" s="176"/>
      <c r="G84" s="51"/>
      <c r="H84" s="174"/>
      <c r="I84" s="174"/>
      <c r="J84" s="174"/>
      <c r="K84" s="177"/>
      <c r="L84" s="99"/>
      <c r="M84" s="99"/>
      <c r="N84" s="99"/>
      <c r="O84" s="99"/>
      <c r="R84" s="103" t="s">
        <v>676</v>
      </c>
    </row>
    <row r="85" spans="2:18">
      <c r="B85" s="173"/>
      <c r="C85" s="174" t="str">
        <f>IFERROR(VLOOKUP(D85,Tabela2[[Descrição]:[ID. Risco]],2,FALSE),"")</f>
        <v/>
      </c>
      <c r="D85" s="174"/>
      <c r="E85" s="175"/>
      <c r="F85" s="176"/>
      <c r="G85" s="51"/>
      <c r="H85" s="174"/>
      <c r="I85" s="174"/>
      <c r="J85" s="174"/>
      <c r="K85" s="177"/>
      <c r="L85" s="99"/>
      <c r="M85" s="99"/>
      <c r="N85" s="99"/>
      <c r="O85" s="99"/>
      <c r="R85" s="103" t="s">
        <v>677</v>
      </c>
    </row>
    <row r="86" spans="2:18">
      <c r="B86" s="173"/>
      <c r="C86" s="174" t="str">
        <f>IFERROR(VLOOKUP(D86,Tabela2[[Descrição]:[ID. Risco]],2,FALSE),"")</f>
        <v/>
      </c>
      <c r="D86" s="174"/>
      <c r="E86" s="175"/>
      <c r="F86" s="176"/>
      <c r="G86" s="51"/>
      <c r="H86" s="174"/>
      <c r="I86" s="174"/>
      <c r="J86" s="174"/>
      <c r="K86" s="177"/>
      <c r="L86" s="99"/>
      <c r="M86" s="99"/>
      <c r="N86" s="99"/>
      <c r="O86" s="99"/>
      <c r="R86" s="103" t="s">
        <v>678</v>
      </c>
    </row>
    <row r="87" spans="2:18">
      <c r="B87" s="173"/>
      <c r="C87" s="174" t="str">
        <f>IFERROR(VLOOKUP(D87,Tabela2[[Descrição]:[ID. Risco]],2,FALSE),"")</f>
        <v/>
      </c>
      <c r="D87" s="174"/>
      <c r="E87" s="175"/>
      <c r="F87" s="176"/>
      <c r="G87" s="51"/>
      <c r="H87" s="174"/>
      <c r="I87" s="174"/>
      <c r="J87" s="174"/>
      <c r="K87" s="177"/>
      <c r="L87" s="99"/>
      <c r="M87" s="99"/>
      <c r="N87" s="99"/>
      <c r="O87" s="99"/>
      <c r="R87" s="103" t="s">
        <v>679</v>
      </c>
    </row>
    <row r="88" spans="2:18">
      <c r="B88" s="173"/>
      <c r="C88" s="174" t="str">
        <f>IFERROR(VLOOKUP(D88,Tabela2[[Descrição]:[ID. Risco]],2,FALSE),"")</f>
        <v/>
      </c>
      <c r="D88" s="174"/>
      <c r="E88" s="175"/>
      <c r="F88" s="176"/>
      <c r="G88" s="51"/>
      <c r="H88" s="174"/>
      <c r="I88" s="174"/>
      <c r="J88" s="174"/>
      <c r="K88" s="177"/>
      <c r="L88" s="99"/>
      <c r="M88" s="99"/>
      <c r="N88" s="99"/>
      <c r="O88" s="99"/>
      <c r="R88" s="103" t="s">
        <v>680</v>
      </c>
    </row>
    <row r="89" spans="2:18">
      <c r="B89" s="173"/>
      <c r="C89" s="174" t="str">
        <f>IFERROR(VLOOKUP(D89,Tabela2[[Descrição]:[ID. Risco]],2,FALSE),"")</f>
        <v/>
      </c>
      <c r="D89" s="174"/>
      <c r="E89" s="175"/>
      <c r="F89" s="176"/>
      <c r="G89" s="51"/>
      <c r="H89" s="174"/>
      <c r="I89" s="174"/>
      <c r="J89" s="174"/>
      <c r="K89" s="177"/>
      <c r="L89" s="99"/>
      <c r="M89" s="99"/>
      <c r="N89" s="99"/>
      <c r="O89" s="99"/>
      <c r="R89" s="103" t="s">
        <v>681</v>
      </c>
    </row>
    <row r="90" spans="2:18">
      <c r="B90" s="173"/>
      <c r="C90" s="174" t="str">
        <f>IFERROR(VLOOKUP(D90,Tabela2[[Descrição]:[ID. Risco]],2,FALSE),"")</f>
        <v/>
      </c>
      <c r="D90" s="174"/>
      <c r="E90" s="175"/>
      <c r="F90" s="176"/>
      <c r="G90" s="51"/>
      <c r="H90" s="174"/>
      <c r="I90" s="174"/>
      <c r="J90" s="174"/>
      <c r="K90" s="177"/>
      <c r="L90" s="99"/>
      <c r="M90" s="99"/>
      <c r="N90" s="99"/>
      <c r="O90" s="99"/>
      <c r="R90" s="103" t="s">
        <v>682</v>
      </c>
    </row>
    <row r="91" spans="2:18">
      <c r="B91" s="173"/>
      <c r="C91" s="174" t="str">
        <f>IFERROR(VLOOKUP(D91,Tabela2[[Descrição]:[ID. Risco]],2,FALSE),"")</f>
        <v/>
      </c>
      <c r="D91" s="174"/>
      <c r="E91" s="174"/>
      <c r="F91" s="178"/>
      <c r="G91" s="174"/>
      <c r="H91" s="174"/>
      <c r="I91" s="174"/>
      <c r="J91" s="174"/>
      <c r="K91" s="177"/>
      <c r="L91" s="99"/>
      <c r="M91" s="99"/>
      <c r="N91" s="99"/>
      <c r="O91" s="99"/>
      <c r="R91" s="103" t="s">
        <v>683</v>
      </c>
    </row>
    <row r="92" spans="2:18">
      <c r="B92" s="173"/>
      <c r="C92" s="174" t="str">
        <f>IFERROR(VLOOKUP(D92,Tabela2[[Descrição]:[ID. Risco]],2,FALSE),"")</f>
        <v/>
      </c>
      <c r="D92" s="174"/>
      <c r="E92" s="174"/>
      <c r="F92" s="178"/>
      <c r="G92" s="174"/>
      <c r="H92" s="174"/>
      <c r="I92" s="174"/>
      <c r="J92" s="174"/>
      <c r="K92" s="177"/>
      <c r="L92" s="99"/>
      <c r="M92" s="99"/>
      <c r="N92" s="99"/>
      <c r="O92" s="99"/>
      <c r="R92" s="103" t="s">
        <v>684</v>
      </c>
    </row>
    <row r="93" spans="2:18">
      <c r="B93" s="173"/>
      <c r="C93" s="174" t="str">
        <f>IFERROR(VLOOKUP(D93,Tabela2[[Descrição]:[ID. Risco]],2,FALSE),"")</f>
        <v/>
      </c>
      <c r="D93" s="174"/>
      <c r="E93" s="174"/>
      <c r="F93" s="178"/>
      <c r="G93" s="174"/>
      <c r="H93" s="174"/>
      <c r="I93" s="174"/>
      <c r="J93" s="174"/>
      <c r="K93" s="177"/>
      <c r="L93" s="99"/>
      <c r="M93" s="99"/>
      <c r="N93" s="99"/>
      <c r="O93" s="99"/>
      <c r="R93" s="103" t="s">
        <v>685</v>
      </c>
    </row>
    <row r="94" spans="2:18">
      <c r="B94" s="173"/>
      <c r="C94" s="174" t="str">
        <f>IFERROR(VLOOKUP(D94,Tabela2[[Descrição]:[ID. Risco]],2,FALSE),"")</f>
        <v/>
      </c>
      <c r="D94" s="174"/>
      <c r="E94" s="174"/>
      <c r="F94" s="178"/>
      <c r="G94" s="174"/>
      <c r="H94" s="174"/>
      <c r="I94" s="174"/>
      <c r="J94" s="174"/>
      <c r="K94" s="177"/>
      <c r="L94" s="99"/>
      <c r="M94" s="99"/>
      <c r="N94" s="99"/>
      <c r="O94" s="99"/>
      <c r="R94" s="103" t="s">
        <v>686</v>
      </c>
    </row>
    <row r="95" spans="2:18">
      <c r="B95" s="173"/>
      <c r="C95" s="174" t="str">
        <f>IFERROR(VLOOKUP(D95,Tabela2[[Descrição]:[ID. Risco]],2,FALSE),"")</f>
        <v/>
      </c>
      <c r="D95" s="174"/>
      <c r="E95" s="174"/>
      <c r="F95" s="178"/>
      <c r="G95" s="174"/>
      <c r="H95" s="174"/>
      <c r="I95" s="174"/>
      <c r="J95" s="174"/>
      <c r="K95" s="177"/>
      <c r="L95" s="99"/>
      <c r="M95" s="99"/>
      <c r="N95" s="99"/>
      <c r="O95" s="99"/>
    </row>
    <row r="96" spans="2:18">
      <c r="B96" s="173"/>
      <c r="C96" s="174" t="str">
        <f>IFERROR(VLOOKUP(D96,Tabela2[[Descrição]:[ID. Risco]],2,FALSE),"")</f>
        <v/>
      </c>
      <c r="D96" s="174"/>
      <c r="E96" s="174"/>
      <c r="F96" s="178"/>
      <c r="G96" s="174"/>
      <c r="H96" s="174"/>
      <c r="I96" s="174"/>
      <c r="J96" s="174"/>
      <c r="K96" s="177"/>
      <c r="L96" s="99"/>
      <c r="M96" s="99"/>
      <c r="N96" s="99"/>
      <c r="O96" s="99"/>
    </row>
    <row r="97" spans="2:15">
      <c r="B97" s="173"/>
      <c r="C97" s="174" t="str">
        <f>IFERROR(VLOOKUP(D97,Tabela2[[Descrição]:[ID. Risco]],2,FALSE),"")</f>
        <v/>
      </c>
      <c r="D97" s="174"/>
      <c r="E97" s="174"/>
      <c r="F97" s="178"/>
      <c r="G97" s="174"/>
      <c r="H97" s="174"/>
      <c r="I97" s="174"/>
      <c r="J97" s="174"/>
      <c r="K97" s="177"/>
      <c r="L97" s="99"/>
      <c r="M97" s="99"/>
      <c r="N97" s="99"/>
      <c r="O97" s="99"/>
    </row>
    <row r="98" spans="2:15">
      <c r="B98" s="173"/>
      <c r="C98" s="174" t="str">
        <f>IFERROR(VLOOKUP(D98,Tabela2[[Descrição]:[ID. Risco]],2,FALSE),"")</f>
        <v/>
      </c>
      <c r="D98" s="174"/>
      <c r="E98" s="174"/>
      <c r="F98" s="178"/>
      <c r="G98" s="174"/>
      <c r="H98" s="174"/>
      <c r="I98" s="174"/>
      <c r="J98" s="174"/>
      <c r="K98" s="177"/>
      <c r="L98" s="99"/>
      <c r="M98" s="99"/>
      <c r="N98" s="99"/>
      <c r="O98" s="99"/>
    </row>
    <row r="99" spans="2:15">
      <c r="B99" s="173"/>
      <c r="C99" s="174" t="str">
        <f>IFERROR(VLOOKUP(D99,Tabela2[[Descrição]:[ID. Risco]],2,FALSE),"")</f>
        <v/>
      </c>
      <c r="D99" s="174"/>
      <c r="E99" s="174"/>
      <c r="F99" s="178"/>
      <c r="G99" s="174"/>
      <c r="H99" s="174"/>
      <c r="I99" s="174"/>
      <c r="J99" s="174"/>
      <c r="K99" s="177"/>
      <c r="L99" s="99"/>
      <c r="M99" s="99"/>
      <c r="N99" s="99"/>
      <c r="O99" s="99"/>
    </row>
    <row r="100" spans="2:15">
      <c r="B100" s="173"/>
      <c r="C100" s="174" t="str">
        <f>IFERROR(VLOOKUP(D100,Tabela2[[Descrição]:[ID. Risco]],2,FALSE),"")</f>
        <v/>
      </c>
      <c r="D100" s="174"/>
      <c r="E100" s="174"/>
      <c r="F100" s="178"/>
      <c r="G100" s="174"/>
      <c r="H100" s="174"/>
      <c r="I100" s="174"/>
      <c r="J100" s="174"/>
      <c r="K100" s="177"/>
      <c r="L100" s="99"/>
      <c r="M100" s="99"/>
      <c r="N100" s="99"/>
      <c r="O100" s="99"/>
    </row>
    <row r="101" spans="2:15">
      <c r="B101" s="173"/>
      <c r="C101" s="174" t="str">
        <f>IFERROR(VLOOKUP(D101,Tabela2[[Descrição]:[ID. Risco]],2,FALSE),"")</f>
        <v/>
      </c>
      <c r="D101" s="174"/>
      <c r="E101" s="174"/>
      <c r="F101" s="178"/>
      <c r="G101" s="174"/>
      <c r="H101" s="174"/>
      <c r="I101" s="174"/>
      <c r="J101" s="174"/>
      <c r="K101" s="177"/>
      <c r="L101" s="99"/>
      <c r="M101" s="99"/>
      <c r="N101" s="99"/>
      <c r="O101" s="99"/>
    </row>
    <row r="102" spans="2:15">
      <c r="B102" s="173"/>
      <c r="C102" s="174" t="str">
        <f>IFERROR(VLOOKUP(D102,Tabela2[[Descrição]:[ID. Risco]],2,FALSE),"")</f>
        <v/>
      </c>
      <c r="D102" s="174"/>
      <c r="E102" s="174"/>
      <c r="F102" s="178"/>
      <c r="G102" s="174"/>
      <c r="H102" s="174"/>
      <c r="I102" s="174"/>
      <c r="J102" s="174"/>
      <c r="K102" s="177"/>
      <c r="L102" s="99"/>
      <c r="M102" s="99"/>
      <c r="N102" s="99"/>
      <c r="O102" s="99"/>
    </row>
    <row r="103" spans="2:15">
      <c r="B103" s="179"/>
      <c r="C103" s="180" t="str">
        <f>IFERROR(VLOOKUP(D103,Tabela2[[Descrição]:[ID. Risco]],2,FALSE),"")</f>
        <v/>
      </c>
      <c r="D103" s="180"/>
      <c r="E103" s="180"/>
      <c r="F103" s="181"/>
      <c r="G103" s="180"/>
      <c r="H103" s="180"/>
      <c r="I103" s="180"/>
      <c r="J103" s="180"/>
      <c r="K103" s="182"/>
      <c r="L103" s="99"/>
      <c r="M103" s="99"/>
      <c r="N103" s="99"/>
      <c r="O103" s="99"/>
    </row>
    <row r="104" spans="2:15">
      <c r="B104" s="167"/>
      <c r="C104" s="168" t="str">
        <f>IFERROR(VLOOKUP(D104,Tabela2[[Descrição]:[ID. Risco]],2,FALSE),"")</f>
        <v/>
      </c>
      <c r="D104" s="168"/>
      <c r="E104" s="169"/>
      <c r="F104" s="170"/>
      <c r="G104" s="171"/>
      <c r="H104" s="168"/>
      <c r="I104" s="168"/>
      <c r="J104" s="168"/>
      <c r="K104" s="172"/>
      <c r="L104" s="99"/>
      <c r="M104" s="99"/>
      <c r="N104" s="99"/>
      <c r="O104" s="99"/>
    </row>
    <row r="105" spans="2:15">
      <c r="B105" s="173"/>
      <c r="C105" s="174" t="str">
        <f>IFERROR(VLOOKUP(D105,Tabela2[[Descrição]:[ID. Risco]],2,FALSE),"")</f>
        <v/>
      </c>
      <c r="D105" s="174"/>
      <c r="E105" s="175"/>
      <c r="F105" s="176"/>
      <c r="G105" s="51"/>
      <c r="H105" s="174"/>
      <c r="I105" s="174"/>
      <c r="J105" s="174"/>
      <c r="K105" s="177"/>
      <c r="L105" s="99"/>
      <c r="M105" s="99"/>
      <c r="N105" s="99"/>
      <c r="O105" s="99"/>
    </row>
    <row r="106" spans="2:15">
      <c r="B106" s="173"/>
      <c r="C106" s="174" t="str">
        <f>IFERROR(VLOOKUP(D106,Tabela2[[Descrição]:[ID. Risco]],2,FALSE),"")</f>
        <v/>
      </c>
      <c r="D106" s="174"/>
      <c r="E106" s="175"/>
      <c r="F106" s="176"/>
      <c r="G106" s="51"/>
      <c r="H106" s="174"/>
      <c r="I106" s="174"/>
      <c r="J106" s="174"/>
      <c r="K106" s="177"/>
      <c r="L106" s="99"/>
      <c r="M106" s="99"/>
      <c r="N106" s="99"/>
      <c r="O106" s="99"/>
    </row>
    <row r="107" spans="2:15">
      <c r="B107" s="173"/>
      <c r="C107" s="174" t="str">
        <f>IFERROR(VLOOKUP(D107,Tabela2[[Descrição]:[ID. Risco]],2,FALSE),"")</f>
        <v/>
      </c>
      <c r="D107" s="174"/>
      <c r="E107" s="175"/>
      <c r="F107" s="176"/>
      <c r="G107" s="51"/>
      <c r="H107" s="174"/>
      <c r="I107" s="174"/>
      <c r="J107" s="174"/>
      <c r="K107" s="177"/>
      <c r="L107" s="99"/>
      <c r="M107" s="99"/>
      <c r="N107" s="99"/>
      <c r="O107" s="99"/>
    </row>
    <row r="108" spans="2:15">
      <c r="B108" s="173"/>
      <c r="C108" s="174" t="str">
        <f>IFERROR(VLOOKUP(D108,Tabela2[[Descrição]:[ID. Risco]],2,FALSE),"")</f>
        <v/>
      </c>
      <c r="D108" s="174"/>
      <c r="E108" s="175"/>
      <c r="F108" s="176"/>
      <c r="G108" s="51"/>
      <c r="H108" s="174"/>
      <c r="I108" s="174"/>
      <c r="J108" s="174"/>
      <c r="K108" s="177"/>
      <c r="L108" s="99"/>
      <c r="M108" s="99"/>
      <c r="N108" s="99"/>
      <c r="O108" s="99"/>
    </row>
    <row r="109" spans="2:15">
      <c r="B109" s="173"/>
      <c r="C109" s="174" t="str">
        <f>IFERROR(VLOOKUP(D109,Tabela2[[Descrição]:[ID. Risco]],2,FALSE),"")</f>
        <v/>
      </c>
      <c r="D109" s="174"/>
      <c r="E109" s="175"/>
      <c r="F109" s="176"/>
      <c r="G109" s="51"/>
      <c r="H109" s="174"/>
      <c r="I109" s="174"/>
      <c r="J109" s="174"/>
      <c r="K109" s="177"/>
      <c r="L109" s="99"/>
      <c r="M109" s="99"/>
      <c r="N109" s="99"/>
      <c r="O109" s="99"/>
    </row>
    <row r="110" spans="2:15">
      <c r="B110" s="173"/>
      <c r="C110" s="174" t="str">
        <f>IFERROR(VLOOKUP(D110,Tabela2[[Descrição]:[ID. Risco]],2,FALSE),"")</f>
        <v/>
      </c>
      <c r="D110" s="174"/>
      <c r="E110" s="175"/>
      <c r="F110" s="176"/>
      <c r="G110" s="51"/>
      <c r="H110" s="174"/>
      <c r="I110" s="174"/>
      <c r="J110" s="174"/>
      <c r="K110" s="177"/>
      <c r="L110" s="99"/>
      <c r="M110" s="99"/>
      <c r="N110" s="99"/>
      <c r="O110" s="99"/>
    </row>
    <row r="111" spans="2:15">
      <c r="B111" s="173"/>
      <c r="C111" s="174" t="str">
        <f>IFERROR(VLOOKUP(D111,Tabela2[[Descrição]:[ID. Risco]],2,FALSE),"")</f>
        <v/>
      </c>
      <c r="D111" s="174"/>
      <c r="E111" s="175"/>
      <c r="F111" s="176"/>
      <c r="G111" s="51"/>
      <c r="H111" s="174"/>
      <c r="I111" s="174"/>
      <c r="J111" s="174"/>
      <c r="K111" s="177"/>
      <c r="L111" s="99"/>
      <c r="M111" s="99"/>
      <c r="N111" s="99"/>
      <c r="O111" s="99"/>
    </row>
    <row r="112" spans="2:15">
      <c r="B112" s="173"/>
      <c r="C112" s="174" t="str">
        <f>IFERROR(VLOOKUP(D112,Tabela2[[Descrição]:[ID. Risco]],2,FALSE),"")</f>
        <v/>
      </c>
      <c r="D112" s="174"/>
      <c r="E112" s="175"/>
      <c r="F112" s="176"/>
      <c r="G112" s="51"/>
      <c r="H112" s="174"/>
      <c r="I112" s="174"/>
      <c r="J112" s="174"/>
      <c r="K112" s="177"/>
      <c r="L112" s="99"/>
      <c r="M112" s="99"/>
      <c r="N112" s="99"/>
      <c r="O112" s="99"/>
    </row>
    <row r="113" spans="2:15">
      <c r="B113" s="173"/>
      <c r="C113" s="174" t="str">
        <f>IFERROR(VLOOKUP(D113,Tabela2[[Descrição]:[ID. Risco]],2,FALSE),"")</f>
        <v/>
      </c>
      <c r="D113" s="174"/>
      <c r="E113" s="175"/>
      <c r="F113" s="176"/>
      <c r="G113" s="51"/>
      <c r="H113" s="174"/>
      <c r="I113" s="174"/>
      <c r="J113" s="174"/>
      <c r="K113" s="177"/>
      <c r="L113" s="99"/>
      <c r="M113" s="99"/>
      <c r="N113" s="99"/>
      <c r="O113" s="99"/>
    </row>
    <row r="114" spans="2:15">
      <c r="B114" s="173"/>
      <c r="C114" s="174" t="str">
        <f>IFERROR(VLOOKUP(D114,Tabela2[[Descrição]:[ID. Risco]],2,FALSE),"")</f>
        <v/>
      </c>
      <c r="D114" s="174"/>
      <c r="E114" s="175"/>
      <c r="F114" s="176"/>
      <c r="G114" s="51"/>
      <c r="H114" s="174"/>
      <c r="I114" s="174"/>
      <c r="J114" s="174"/>
      <c r="K114" s="177"/>
      <c r="L114" s="99"/>
      <c r="M114" s="99"/>
      <c r="N114" s="99"/>
      <c r="O114" s="99"/>
    </row>
    <row r="115" spans="2:15">
      <c r="B115" s="173"/>
      <c r="C115" s="174" t="str">
        <f>IFERROR(VLOOKUP(D115,Tabela2[[Descrição]:[ID. Risco]],2,FALSE),"")</f>
        <v/>
      </c>
      <c r="D115" s="174"/>
      <c r="E115" s="175"/>
      <c r="F115" s="176"/>
      <c r="G115" s="51"/>
      <c r="H115" s="174"/>
      <c r="I115" s="174"/>
      <c r="J115" s="174"/>
      <c r="K115" s="177"/>
      <c r="L115" s="99"/>
      <c r="M115" s="99"/>
      <c r="N115" s="99"/>
      <c r="O115" s="99"/>
    </row>
    <row r="116" spans="2:15">
      <c r="B116" s="173"/>
      <c r="C116" s="174" t="str">
        <f>IFERROR(VLOOKUP(D116,Tabela2[[Descrição]:[ID. Risco]],2,FALSE),"")</f>
        <v/>
      </c>
      <c r="D116" s="174"/>
      <c r="E116" s="174"/>
      <c r="F116" s="178"/>
      <c r="G116" s="174"/>
      <c r="H116" s="174"/>
      <c r="I116" s="174"/>
      <c r="J116" s="174"/>
      <c r="K116" s="177"/>
      <c r="L116" s="99"/>
      <c r="M116" s="99"/>
      <c r="N116" s="99"/>
      <c r="O116" s="99"/>
    </row>
    <row r="117" spans="2:15">
      <c r="B117" s="173"/>
      <c r="C117" s="174" t="str">
        <f>IFERROR(VLOOKUP(D117,Tabela2[[Descrição]:[ID. Risco]],2,FALSE),"")</f>
        <v/>
      </c>
      <c r="D117" s="174"/>
      <c r="E117" s="174"/>
      <c r="F117" s="178"/>
      <c r="G117" s="174"/>
      <c r="H117" s="174"/>
      <c r="I117" s="174"/>
      <c r="J117" s="174"/>
      <c r="K117" s="177"/>
      <c r="L117" s="99"/>
      <c r="M117" s="99"/>
      <c r="N117" s="99"/>
      <c r="O117" s="99"/>
    </row>
    <row r="118" spans="2:15">
      <c r="B118" s="173"/>
      <c r="C118" s="174" t="str">
        <f>IFERROR(VLOOKUP(D118,Tabela2[[Descrição]:[ID. Risco]],2,FALSE),"")</f>
        <v/>
      </c>
      <c r="D118" s="174"/>
      <c r="E118" s="174"/>
      <c r="F118" s="178"/>
      <c r="G118" s="174"/>
      <c r="H118" s="174"/>
      <c r="I118" s="174"/>
      <c r="J118" s="174"/>
      <c r="K118" s="177"/>
      <c r="L118" s="99"/>
      <c r="M118" s="99"/>
      <c r="N118" s="99"/>
      <c r="O118" s="99"/>
    </row>
    <row r="119" spans="2:15">
      <c r="B119" s="173"/>
      <c r="C119" s="174" t="str">
        <f>IFERROR(VLOOKUP(D119,Tabela2[[Descrição]:[ID. Risco]],2,FALSE),"")</f>
        <v/>
      </c>
      <c r="D119" s="174"/>
      <c r="E119" s="174"/>
      <c r="F119" s="178"/>
      <c r="G119" s="174"/>
      <c r="H119" s="174"/>
      <c r="I119" s="174"/>
      <c r="J119" s="174"/>
      <c r="K119" s="177"/>
      <c r="L119" s="99"/>
      <c r="M119" s="99"/>
      <c r="N119" s="99"/>
      <c r="O119" s="99"/>
    </row>
    <row r="120" spans="2:15">
      <c r="B120" s="173"/>
      <c r="C120" s="174" t="str">
        <f>IFERROR(VLOOKUP(D120,Tabela2[[Descrição]:[ID. Risco]],2,FALSE),"")</f>
        <v/>
      </c>
      <c r="D120" s="174"/>
      <c r="E120" s="174"/>
      <c r="F120" s="178"/>
      <c r="G120" s="174"/>
      <c r="H120" s="174"/>
      <c r="I120" s="174"/>
      <c r="J120" s="174"/>
      <c r="K120" s="177"/>
      <c r="L120" s="99"/>
      <c r="M120" s="99"/>
      <c r="N120" s="99"/>
      <c r="O120" s="99"/>
    </row>
    <row r="121" spans="2:15">
      <c r="B121" s="173"/>
      <c r="C121" s="174" t="str">
        <f>IFERROR(VLOOKUP(D121,Tabela2[[Descrição]:[ID. Risco]],2,FALSE),"")</f>
        <v/>
      </c>
      <c r="D121" s="174"/>
      <c r="E121" s="174"/>
      <c r="F121" s="178"/>
      <c r="G121" s="174"/>
      <c r="H121" s="174"/>
      <c r="I121" s="174"/>
      <c r="J121" s="174"/>
      <c r="K121" s="177"/>
      <c r="L121" s="99"/>
      <c r="M121" s="99"/>
      <c r="N121" s="99"/>
      <c r="O121" s="99"/>
    </row>
    <row r="122" spans="2:15">
      <c r="B122" s="173"/>
      <c r="C122" s="174" t="str">
        <f>IFERROR(VLOOKUP(D122,Tabela2[[Descrição]:[ID. Risco]],2,FALSE),"")</f>
        <v/>
      </c>
      <c r="D122" s="174"/>
      <c r="E122" s="174"/>
      <c r="F122" s="178"/>
      <c r="G122" s="174"/>
      <c r="H122" s="174"/>
      <c r="I122" s="174"/>
      <c r="J122" s="174"/>
      <c r="K122" s="177"/>
      <c r="L122" s="99"/>
      <c r="M122" s="99"/>
      <c r="N122" s="99"/>
      <c r="O122" s="99"/>
    </row>
    <row r="123" spans="2:15">
      <c r="B123" s="173"/>
      <c r="C123" s="174" t="str">
        <f>IFERROR(VLOOKUP(D123,Tabela2[[Descrição]:[ID. Risco]],2,FALSE),"")</f>
        <v/>
      </c>
      <c r="D123" s="174"/>
      <c r="E123" s="174"/>
      <c r="F123" s="178"/>
      <c r="G123" s="174"/>
      <c r="H123" s="174"/>
      <c r="I123" s="174"/>
      <c r="J123" s="174"/>
      <c r="K123" s="177"/>
      <c r="L123" s="99"/>
      <c r="M123" s="99"/>
      <c r="N123" s="99"/>
      <c r="O123" s="99"/>
    </row>
    <row r="124" spans="2:15">
      <c r="B124" s="173"/>
      <c r="C124" s="174" t="str">
        <f>IFERROR(VLOOKUP(D124,Tabela2[[Descrição]:[ID. Risco]],2,FALSE),"")</f>
        <v/>
      </c>
      <c r="D124" s="174"/>
      <c r="E124" s="174"/>
      <c r="F124" s="178"/>
      <c r="G124" s="174"/>
      <c r="H124" s="174"/>
      <c r="I124" s="174"/>
      <c r="J124" s="174"/>
      <c r="K124" s="177"/>
      <c r="L124" s="99"/>
      <c r="M124" s="99"/>
      <c r="N124" s="99"/>
      <c r="O124" s="99"/>
    </row>
    <row r="125" spans="2:15">
      <c r="B125" s="173"/>
      <c r="C125" s="174" t="str">
        <f>IFERROR(VLOOKUP(D125,Tabela2[[Descrição]:[ID. Risco]],2,FALSE),"")</f>
        <v/>
      </c>
      <c r="D125" s="174"/>
      <c r="E125" s="174"/>
      <c r="F125" s="178"/>
      <c r="G125" s="174"/>
      <c r="H125" s="174"/>
      <c r="I125" s="174"/>
      <c r="J125" s="174"/>
      <c r="K125" s="177"/>
      <c r="L125" s="99"/>
      <c r="M125" s="99"/>
      <c r="N125" s="99"/>
      <c r="O125" s="99"/>
    </row>
    <row r="126" spans="2:15">
      <c r="B126" s="173"/>
      <c r="C126" s="174" t="str">
        <f>IFERROR(VLOOKUP(D126,Tabela2[[Descrição]:[ID. Risco]],2,FALSE),"")</f>
        <v/>
      </c>
      <c r="D126" s="174"/>
      <c r="E126" s="174"/>
      <c r="F126" s="178"/>
      <c r="G126" s="174"/>
      <c r="H126" s="174"/>
      <c r="I126" s="174"/>
      <c r="J126" s="174"/>
      <c r="K126" s="177"/>
      <c r="L126" s="99"/>
      <c r="M126" s="99"/>
      <c r="N126" s="99"/>
      <c r="O126" s="99"/>
    </row>
    <row r="127" spans="2:15">
      <c r="B127" s="173"/>
      <c r="C127" s="174" t="str">
        <f>IFERROR(VLOOKUP(D127,Tabela2[[Descrição]:[ID. Risco]],2,FALSE),"")</f>
        <v/>
      </c>
      <c r="D127" s="174"/>
      <c r="E127" s="174"/>
      <c r="F127" s="178"/>
      <c r="G127" s="174"/>
      <c r="H127" s="174"/>
      <c r="I127" s="174"/>
      <c r="J127" s="174"/>
      <c r="K127" s="177"/>
      <c r="L127" s="99"/>
      <c r="M127" s="99"/>
      <c r="N127" s="99"/>
      <c r="O127" s="99"/>
    </row>
    <row r="128" spans="2:15">
      <c r="B128" s="179"/>
      <c r="C128" s="180" t="str">
        <f>IFERROR(VLOOKUP(D128,Tabela2[[Descrição]:[ID. Risco]],2,FALSE),"")</f>
        <v/>
      </c>
      <c r="D128" s="180"/>
      <c r="E128" s="180"/>
      <c r="F128" s="181"/>
      <c r="G128" s="180"/>
      <c r="H128" s="180"/>
      <c r="I128" s="180"/>
      <c r="J128" s="180"/>
      <c r="K128" s="182"/>
      <c r="L128" s="99"/>
      <c r="M128" s="99"/>
      <c r="N128" s="99"/>
      <c r="O128" s="99"/>
    </row>
    <row r="129" spans="2:15">
      <c r="B129" s="167"/>
      <c r="C129" s="168" t="str">
        <f>IFERROR(VLOOKUP(D129,Tabela2[[Descrição]:[ID. Risco]],2,FALSE),"")</f>
        <v/>
      </c>
      <c r="D129" s="168"/>
      <c r="E129" s="169"/>
      <c r="F129" s="170"/>
      <c r="G129" s="171"/>
      <c r="H129" s="168"/>
      <c r="I129" s="168"/>
      <c r="J129" s="168"/>
      <c r="K129" s="172"/>
      <c r="L129" s="99"/>
      <c r="M129" s="99"/>
      <c r="N129" s="99"/>
      <c r="O129" s="99"/>
    </row>
    <row r="130" spans="2:15">
      <c r="B130" s="173"/>
      <c r="C130" s="174" t="str">
        <f>IFERROR(VLOOKUP(D130,Tabela2[[Descrição]:[ID. Risco]],2,FALSE),"")</f>
        <v/>
      </c>
      <c r="D130" s="174"/>
      <c r="E130" s="175"/>
      <c r="F130" s="176"/>
      <c r="G130" s="51"/>
      <c r="H130" s="174"/>
      <c r="I130" s="174"/>
      <c r="J130" s="174"/>
      <c r="K130" s="177"/>
      <c r="L130" s="99"/>
      <c r="M130" s="99"/>
      <c r="N130" s="99"/>
      <c r="O130" s="99"/>
    </row>
    <row r="131" spans="2:15">
      <c r="B131" s="173"/>
      <c r="C131" s="174" t="str">
        <f>IFERROR(VLOOKUP(D131,Tabela2[[Descrição]:[ID. Risco]],2,FALSE),"")</f>
        <v/>
      </c>
      <c r="D131" s="174"/>
      <c r="E131" s="175"/>
      <c r="F131" s="176"/>
      <c r="G131" s="51"/>
      <c r="H131" s="174"/>
      <c r="I131" s="174"/>
      <c r="J131" s="174"/>
      <c r="K131" s="177"/>
      <c r="L131" s="99"/>
      <c r="M131" s="99"/>
      <c r="N131" s="99"/>
      <c r="O131" s="99"/>
    </row>
    <row r="132" spans="2:15">
      <c r="B132" s="173"/>
      <c r="C132" s="174" t="str">
        <f>IFERROR(VLOOKUP(D132,Tabela2[[Descrição]:[ID. Risco]],2,FALSE),"")</f>
        <v/>
      </c>
      <c r="D132" s="174"/>
      <c r="E132" s="175"/>
      <c r="F132" s="176"/>
      <c r="G132" s="51"/>
      <c r="H132" s="174"/>
      <c r="I132" s="174"/>
      <c r="J132" s="174"/>
      <c r="K132" s="177"/>
      <c r="L132" s="99"/>
      <c r="M132" s="99"/>
      <c r="N132" s="99"/>
      <c r="O132" s="99"/>
    </row>
    <row r="133" spans="2:15">
      <c r="B133" s="173"/>
      <c r="C133" s="174" t="str">
        <f>IFERROR(VLOOKUP(D133,Tabela2[[Descrição]:[ID. Risco]],2,FALSE),"")</f>
        <v/>
      </c>
      <c r="D133" s="174"/>
      <c r="E133" s="175"/>
      <c r="F133" s="176"/>
      <c r="G133" s="51"/>
      <c r="H133" s="174"/>
      <c r="I133" s="174"/>
      <c r="J133" s="174"/>
      <c r="K133" s="177"/>
      <c r="L133" s="99"/>
      <c r="M133" s="99"/>
      <c r="N133" s="99"/>
      <c r="O133" s="99"/>
    </row>
    <row r="134" spans="2:15">
      <c r="B134" s="173"/>
      <c r="C134" s="174" t="str">
        <f>IFERROR(VLOOKUP(D134,Tabela2[[Descrição]:[ID. Risco]],2,FALSE),"")</f>
        <v/>
      </c>
      <c r="D134" s="174"/>
      <c r="E134" s="175"/>
      <c r="F134" s="176"/>
      <c r="G134" s="51"/>
      <c r="H134" s="174"/>
      <c r="I134" s="174"/>
      <c r="J134" s="174"/>
      <c r="K134" s="177"/>
      <c r="L134" s="99"/>
      <c r="M134" s="99"/>
      <c r="N134" s="99"/>
      <c r="O134" s="99"/>
    </row>
    <row r="135" spans="2:15">
      <c r="B135" s="173"/>
      <c r="C135" s="174" t="str">
        <f>IFERROR(VLOOKUP(D135,Tabela2[[Descrição]:[ID. Risco]],2,FALSE),"")</f>
        <v/>
      </c>
      <c r="D135" s="174"/>
      <c r="E135" s="175"/>
      <c r="F135" s="176"/>
      <c r="G135" s="51"/>
      <c r="H135" s="174"/>
      <c r="I135" s="174"/>
      <c r="J135" s="174"/>
      <c r="K135" s="177"/>
      <c r="L135" s="99"/>
      <c r="M135" s="99"/>
      <c r="N135" s="99"/>
      <c r="O135" s="99"/>
    </row>
    <row r="136" spans="2:15">
      <c r="B136" s="173"/>
      <c r="C136" s="174" t="str">
        <f>IFERROR(VLOOKUP(D136,Tabela2[[Descrição]:[ID. Risco]],2,FALSE),"")</f>
        <v/>
      </c>
      <c r="D136" s="174"/>
      <c r="E136" s="175"/>
      <c r="F136" s="176"/>
      <c r="G136" s="51"/>
      <c r="H136" s="174"/>
      <c r="I136" s="174"/>
      <c r="J136" s="174"/>
      <c r="K136" s="177"/>
      <c r="L136" s="99"/>
      <c r="M136" s="99"/>
      <c r="N136" s="99"/>
      <c r="O136" s="99"/>
    </row>
    <row r="137" spans="2:15">
      <c r="B137" s="173"/>
      <c r="C137" s="174" t="str">
        <f>IFERROR(VLOOKUP(D137,Tabela2[[Descrição]:[ID. Risco]],2,FALSE),"")</f>
        <v/>
      </c>
      <c r="D137" s="174"/>
      <c r="E137" s="175"/>
      <c r="F137" s="176"/>
      <c r="G137" s="51"/>
      <c r="H137" s="174"/>
      <c r="I137" s="174"/>
      <c r="J137" s="174"/>
      <c r="K137" s="177"/>
      <c r="L137" s="99"/>
      <c r="M137" s="99"/>
      <c r="N137" s="99"/>
      <c r="O137" s="99"/>
    </row>
    <row r="138" spans="2:15">
      <c r="B138" s="173"/>
      <c r="C138" s="174" t="str">
        <f>IFERROR(VLOOKUP(D138,Tabela2[[Descrição]:[ID. Risco]],2,FALSE),"")</f>
        <v/>
      </c>
      <c r="D138" s="174"/>
      <c r="E138" s="175"/>
      <c r="F138" s="176"/>
      <c r="G138" s="51"/>
      <c r="H138" s="174"/>
      <c r="I138" s="174"/>
      <c r="J138" s="174"/>
      <c r="K138" s="177"/>
      <c r="L138" s="99"/>
      <c r="M138" s="99"/>
      <c r="N138" s="99"/>
      <c r="O138" s="99"/>
    </row>
    <row r="139" spans="2:15">
      <c r="B139" s="173"/>
      <c r="C139" s="174" t="str">
        <f>IFERROR(VLOOKUP(D139,Tabela2[[Descrição]:[ID. Risco]],2,FALSE),"")</f>
        <v/>
      </c>
      <c r="D139" s="174"/>
      <c r="E139" s="175"/>
      <c r="F139" s="176"/>
      <c r="G139" s="51"/>
      <c r="H139" s="174"/>
      <c r="I139" s="174"/>
      <c r="J139" s="174"/>
      <c r="K139" s="177"/>
      <c r="L139" s="99"/>
      <c r="M139" s="99"/>
      <c r="N139" s="99"/>
      <c r="O139" s="99"/>
    </row>
    <row r="140" spans="2:15">
      <c r="B140" s="173"/>
      <c r="C140" s="174" t="str">
        <f>IFERROR(VLOOKUP(D140,Tabela2[[Descrição]:[ID. Risco]],2,FALSE),"")</f>
        <v/>
      </c>
      <c r="D140" s="174"/>
      <c r="E140" s="175"/>
      <c r="F140" s="176"/>
      <c r="G140" s="51"/>
      <c r="H140" s="174"/>
      <c r="I140" s="174"/>
      <c r="J140" s="174"/>
      <c r="K140" s="177"/>
      <c r="L140" s="99"/>
      <c r="M140" s="99"/>
      <c r="N140" s="99"/>
      <c r="O140" s="99"/>
    </row>
    <row r="141" spans="2:15">
      <c r="B141" s="173"/>
      <c r="C141" s="174" t="str">
        <f>IFERROR(VLOOKUP(D141,Tabela2[[Descrição]:[ID. Risco]],2,FALSE),"")</f>
        <v/>
      </c>
      <c r="D141" s="174"/>
      <c r="E141" s="174"/>
      <c r="F141" s="178"/>
      <c r="G141" s="174"/>
      <c r="H141" s="174"/>
      <c r="I141" s="174"/>
      <c r="J141" s="174"/>
      <c r="K141" s="177"/>
      <c r="L141" s="99"/>
      <c r="M141" s="99"/>
      <c r="N141" s="99"/>
      <c r="O141" s="99"/>
    </row>
    <row r="142" spans="2:15">
      <c r="B142" s="173"/>
      <c r="C142" s="174" t="str">
        <f>IFERROR(VLOOKUP(D142,Tabela2[[Descrição]:[ID. Risco]],2,FALSE),"")</f>
        <v/>
      </c>
      <c r="D142" s="174"/>
      <c r="E142" s="174"/>
      <c r="F142" s="178"/>
      <c r="G142" s="174"/>
      <c r="H142" s="174"/>
      <c r="I142" s="174"/>
      <c r="J142" s="174"/>
      <c r="K142" s="177"/>
      <c r="L142" s="99"/>
      <c r="M142" s="99"/>
      <c r="N142" s="99"/>
      <c r="O142" s="99"/>
    </row>
    <row r="143" spans="2:15">
      <c r="B143" s="173"/>
      <c r="C143" s="174" t="str">
        <f>IFERROR(VLOOKUP(D143,Tabela2[[Descrição]:[ID. Risco]],2,FALSE),"")</f>
        <v/>
      </c>
      <c r="D143" s="174"/>
      <c r="E143" s="174"/>
      <c r="F143" s="178"/>
      <c r="G143" s="174"/>
      <c r="H143" s="174"/>
      <c r="I143" s="174"/>
      <c r="J143" s="174"/>
      <c r="K143" s="177"/>
      <c r="L143" s="99"/>
      <c r="M143" s="99"/>
      <c r="N143" s="99"/>
      <c r="O143" s="99"/>
    </row>
    <row r="144" spans="2:15">
      <c r="B144" s="173"/>
      <c r="C144" s="174" t="str">
        <f>IFERROR(VLOOKUP(D144,Tabela2[[Descrição]:[ID. Risco]],2,FALSE),"")</f>
        <v/>
      </c>
      <c r="D144" s="174"/>
      <c r="E144" s="174"/>
      <c r="F144" s="178"/>
      <c r="G144" s="174"/>
      <c r="H144" s="174"/>
      <c r="I144" s="174"/>
      <c r="J144" s="174"/>
      <c r="K144" s="177"/>
      <c r="L144" s="99"/>
      <c r="M144" s="99"/>
      <c r="N144" s="99"/>
      <c r="O144" s="99"/>
    </row>
    <row r="145" spans="2:15">
      <c r="B145" s="173"/>
      <c r="C145" s="174" t="str">
        <f>IFERROR(VLOOKUP(D145,Tabela2[[Descrição]:[ID. Risco]],2,FALSE),"")</f>
        <v/>
      </c>
      <c r="D145" s="174"/>
      <c r="E145" s="174"/>
      <c r="F145" s="178"/>
      <c r="G145" s="174"/>
      <c r="H145" s="174"/>
      <c r="I145" s="174"/>
      <c r="J145" s="174"/>
      <c r="K145" s="177"/>
      <c r="L145" s="99"/>
      <c r="M145" s="99"/>
      <c r="N145" s="99"/>
      <c r="O145" s="99"/>
    </row>
    <row r="146" spans="2:15">
      <c r="B146" s="173"/>
      <c r="C146" s="174" t="str">
        <f>IFERROR(VLOOKUP(D146,Tabela2[[Descrição]:[ID. Risco]],2,FALSE),"")</f>
        <v/>
      </c>
      <c r="D146" s="174"/>
      <c r="E146" s="174"/>
      <c r="F146" s="178"/>
      <c r="G146" s="174"/>
      <c r="H146" s="174"/>
      <c r="I146" s="174"/>
      <c r="J146" s="174"/>
      <c r="K146" s="177"/>
      <c r="L146" s="99"/>
      <c r="M146" s="99"/>
      <c r="N146" s="99"/>
      <c r="O146" s="99"/>
    </row>
    <row r="147" spans="2:15">
      <c r="B147" s="173"/>
      <c r="C147" s="174" t="str">
        <f>IFERROR(VLOOKUP(D147,Tabela2[[Descrição]:[ID. Risco]],2,FALSE),"")</f>
        <v/>
      </c>
      <c r="D147" s="174"/>
      <c r="E147" s="174"/>
      <c r="F147" s="178"/>
      <c r="G147" s="174"/>
      <c r="H147" s="174"/>
      <c r="I147" s="174"/>
      <c r="J147" s="174"/>
      <c r="K147" s="177"/>
      <c r="L147" s="99"/>
      <c r="M147" s="99"/>
      <c r="N147" s="99"/>
      <c r="O147" s="99"/>
    </row>
    <row r="148" spans="2:15">
      <c r="B148" s="173"/>
      <c r="C148" s="174" t="str">
        <f>IFERROR(VLOOKUP(D148,Tabela2[[Descrição]:[ID. Risco]],2,FALSE),"")</f>
        <v/>
      </c>
      <c r="D148" s="174"/>
      <c r="E148" s="174"/>
      <c r="F148" s="178"/>
      <c r="G148" s="174"/>
      <c r="H148" s="174"/>
      <c r="I148" s="174"/>
      <c r="J148" s="174"/>
      <c r="K148" s="177"/>
      <c r="L148" s="99"/>
      <c r="M148" s="99"/>
      <c r="N148" s="99"/>
      <c r="O148" s="99"/>
    </row>
    <row r="149" spans="2:15">
      <c r="B149" s="173"/>
      <c r="C149" s="174" t="str">
        <f>IFERROR(VLOOKUP(D149,Tabela2[[Descrição]:[ID. Risco]],2,FALSE),"")</f>
        <v/>
      </c>
      <c r="D149" s="174"/>
      <c r="E149" s="174"/>
      <c r="F149" s="178"/>
      <c r="G149" s="174"/>
      <c r="H149" s="174"/>
      <c r="I149" s="174"/>
      <c r="J149" s="174"/>
      <c r="K149" s="177"/>
      <c r="L149" s="99"/>
      <c r="M149" s="99"/>
      <c r="N149" s="99"/>
      <c r="O149" s="99"/>
    </row>
    <row r="150" spans="2:15">
      <c r="B150" s="173"/>
      <c r="C150" s="174" t="str">
        <f>IFERROR(VLOOKUP(D150,Tabela2[[Descrição]:[ID. Risco]],2,FALSE),"")</f>
        <v/>
      </c>
      <c r="D150" s="174"/>
      <c r="E150" s="174"/>
      <c r="F150" s="178"/>
      <c r="G150" s="174"/>
      <c r="H150" s="174"/>
      <c r="I150" s="174"/>
      <c r="J150" s="174"/>
      <c r="K150" s="177"/>
      <c r="L150" s="99"/>
      <c r="M150" s="99"/>
      <c r="N150" s="99"/>
      <c r="O150" s="99"/>
    </row>
    <row r="151" spans="2:15">
      <c r="B151" s="173"/>
      <c r="C151" s="174" t="str">
        <f>IFERROR(VLOOKUP(D151,Tabela2[[Descrição]:[ID. Risco]],2,FALSE),"")</f>
        <v/>
      </c>
      <c r="D151" s="174"/>
      <c r="E151" s="174"/>
      <c r="F151" s="178"/>
      <c r="G151" s="174"/>
      <c r="H151" s="174"/>
      <c r="I151" s="174"/>
      <c r="J151" s="174"/>
      <c r="K151" s="177"/>
      <c r="L151" s="99"/>
      <c r="M151" s="99"/>
      <c r="N151" s="99"/>
      <c r="O151" s="99"/>
    </row>
    <row r="152" spans="2:15">
      <c r="B152" s="173"/>
      <c r="C152" s="174" t="str">
        <f>IFERROR(VLOOKUP(D152,Tabela2[[Descrição]:[ID. Risco]],2,FALSE),"")</f>
        <v/>
      </c>
      <c r="D152" s="174"/>
      <c r="E152" s="174"/>
      <c r="F152" s="178"/>
      <c r="G152" s="174"/>
      <c r="H152" s="174"/>
      <c r="I152" s="174"/>
      <c r="J152" s="174"/>
      <c r="K152" s="177"/>
      <c r="L152" s="99"/>
      <c r="M152" s="99"/>
      <c r="N152" s="99"/>
      <c r="O152" s="99"/>
    </row>
    <row r="153" spans="2:15">
      <c r="B153" s="179"/>
      <c r="C153" s="180" t="str">
        <f>IFERROR(VLOOKUP(D153,Tabela2[[Descrição]:[ID. Risco]],2,FALSE),"")</f>
        <v/>
      </c>
      <c r="D153" s="180"/>
      <c r="E153" s="180"/>
      <c r="F153" s="181"/>
      <c r="G153" s="180"/>
      <c r="H153" s="180"/>
      <c r="I153" s="180"/>
      <c r="J153" s="180"/>
      <c r="K153" s="182"/>
      <c r="L153" s="99"/>
      <c r="M153" s="99"/>
      <c r="N153" s="99"/>
      <c r="O153" s="99"/>
    </row>
    <row r="154" spans="2:15">
      <c r="B154" s="167"/>
      <c r="C154" s="168" t="str">
        <f>IFERROR(VLOOKUP(D154,Tabela2[[Descrição]:[ID. Risco]],2,FALSE),"")</f>
        <v/>
      </c>
      <c r="D154" s="168"/>
      <c r="E154" s="169"/>
      <c r="F154" s="170"/>
      <c r="G154" s="171"/>
      <c r="H154" s="168"/>
      <c r="I154" s="168"/>
      <c r="J154" s="168"/>
      <c r="K154" s="172"/>
      <c r="L154" s="99"/>
      <c r="M154" s="99"/>
      <c r="N154" s="99"/>
      <c r="O154" s="99"/>
    </row>
    <row r="155" spans="2:15">
      <c r="B155" s="173"/>
      <c r="C155" s="174" t="str">
        <f>IFERROR(VLOOKUP(D155,Tabela2[[Descrição]:[ID. Risco]],2,FALSE),"")</f>
        <v/>
      </c>
      <c r="D155" s="174"/>
      <c r="E155" s="175"/>
      <c r="F155" s="176"/>
      <c r="G155" s="51"/>
      <c r="H155" s="174"/>
      <c r="I155" s="174"/>
      <c r="J155" s="174"/>
      <c r="K155" s="177"/>
      <c r="L155" s="99"/>
      <c r="M155" s="99"/>
      <c r="N155" s="99"/>
      <c r="O155" s="99"/>
    </row>
    <row r="156" spans="2:15">
      <c r="B156" s="173"/>
      <c r="C156" s="174" t="str">
        <f>IFERROR(VLOOKUP(D156,Tabela2[[Descrição]:[ID. Risco]],2,FALSE),"")</f>
        <v/>
      </c>
      <c r="D156" s="174"/>
      <c r="E156" s="175"/>
      <c r="F156" s="176"/>
      <c r="G156" s="51"/>
      <c r="H156" s="174"/>
      <c r="I156" s="174"/>
      <c r="J156" s="174"/>
      <c r="K156" s="177"/>
      <c r="L156" s="99"/>
      <c r="M156" s="99"/>
      <c r="N156" s="99"/>
      <c r="O156" s="99"/>
    </row>
    <row r="157" spans="2:15">
      <c r="B157" s="173"/>
      <c r="C157" s="174" t="str">
        <f>IFERROR(VLOOKUP(D157,Tabela2[[Descrição]:[ID. Risco]],2,FALSE),"")</f>
        <v/>
      </c>
      <c r="D157" s="174"/>
      <c r="E157" s="175"/>
      <c r="F157" s="176"/>
      <c r="G157" s="51"/>
      <c r="H157" s="174"/>
      <c r="I157" s="174"/>
      <c r="J157" s="174"/>
      <c r="K157" s="177"/>
      <c r="L157" s="99"/>
      <c r="M157" s="99"/>
      <c r="N157" s="99"/>
      <c r="O157" s="99"/>
    </row>
    <row r="158" spans="2:15">
      <c r="B158" s="173"/>
      <c r="C158" s="174" t="str">
        <f>IFERROR(VLOOKUP(D158,Tabela2[[Descrição]:[ID. Risco]],2,FALSE),"")</f>
        <v/>
      </c>
      <c r="D158" s="174"/>
      <c r="E158" s="175"/>
      <c r="F158" s="176"/>
      <c r="G158" s="51"/>
      <c r="H158" s="174"/>
      <c r="I158" s="174"/>
      <c r="J158" s="174"/>
      <c r="K158" s="177"/>
      <c r="L158" s="99"/>
      <c r="M158" s="99"/>
      <c r="N158" s="99"/>
      <c r="O158" s="99"/>
    </row>
    <row r="159" spans="2:15">
      <c r="B159" s="173"/>
      <c r="C159" s="174" t="str">
        <f>IFERROR(VLOOKUP(D159,Tabela2[[Descrição]:[ID. Risco]],2,FALSE),"")</f>
        <v/>
      </c>
      <c r="D159" s="174"/>
      <c r="E159" s="175"/>
      <c r="F159" s="176"/>
      <c r="G159" s="51"/>
      <c r="H159" s="174"/>
      <c r="I159" s="174"/>
      <c r="J159" s="174"/>
      <c r="K159" s="177"/>
      <c r="L159" s="99"/>
      <c r="M159" s="99"/>
      <c r="N159" s="99"/>
      <c r="O159" s="99"/>
    </row>
    <row r="160" spans="2:15">
      <c r="B160" s="173"/>
      <c r="C160" s="174" t="str">
        <f>IFERROR(VLOOKUP(D160,Tabela2[[Descrição]:[ID. Risco]],2,FALSE),"")</f>
        <v/>
      </c>
      <c r="D160" s="174"/>
      <c r="E160" s="175"/>
      <c r="F160" s="176"/>
      <c r="G160" s="51"/>
      <c r="H160" s="174"/>
      <c r="I160" s="174"/>
      <c r="J160" s="174"/>
      <c r="K160" s="177"/>
      <c r="L160" s="99"/>
      <c r="M160" s="99"/>
      <c r="N160" s="99"/>
      <c r="O160" s="99"/>
    </row>
    <row r="161" spans="2:15">
      <c r="B161" s="173"/>
      <c r="C161" s="174" t="str">
        <f>IFERROR(VLOOKUP(D161,Tabela2[[Descrição]:[ID. Risco]],2,FALSE),"")</f>
        <v/>
      </c>
      <c r="D161" s="174"/>
      <c r="E161" s="175"/>
      <c r="F161" s="176"/>
      <c r="G161" s="51"/>
      <c r="H161" s="174"/>
      <c r="I161" s="174"/>
      <c r="J161" s="174"/>
      <c r="K161" s="177"/>
      <c r="L161" s="99"/>
      <c r="M161" s="99"/>
      <c r="N161" s="99"/>
      <c r="O161" s="99"/>
    </row>
    <row r="162" spans="2:15">
      <c r="B162" s="173"/>
      <c r="C162" s="174" t="str">
        <f>IFERROR(VLOOKUP(D162,Tabela2[[Descrição]:[ID. Risco]],2,FALSE),"")</f>
        <v/>
      </c>
      <c r="D162" s="174"/>
      <c r="E162" s="175"/>
      <c r="F162" s="176"/>
      <c r="G162" s="51"/>
      <c r="H162" s="174"/>
      <c r="I162" s="174"/>
      <c r="J162" s="174"/>
      <c r="K162" s="177"/>
      <c r="L162" s="99"/>
      <c r="M162" s="99"/>
      <c r="N162" s="99"/>
      <c r="O162" s="99"/>
    </row>
    <row r="163" spans="2:15">
      <c r="B163" s="173"/>
      <c r="C163" s="174" t="str">
        <f>IFERROR(VLOOKUP(D163,Tabela2[[Descrição]:[ID. Risco]],2,FALSE),"")</f>
        <v/>
      </c>
      <c r="D163" s="174"/>
      <c r="E163" s="175"/>
      <c r="F163" s="176"/>
      <c r="G163" s="51"/>
      <c r="H163" s="174"/>
      <c r="I163" s="174"/>
      <c r="J163" s="174"/>
      <c r="K163" s="177"/>
      <c r="L163" s="99"/>
      <c r="M163" s="99"/>
      <c r="N163" s="99"/>
      <c r="O163" s="99"/>
    </row>
    <row r="164" spans="2:15">
      <c r="B164" s="173"/>
      <c r="C164" s="174" t="str">
        <f>IFERROR(VLOOKUP(D164,Tabela2[[Descrição]:[ID. Risco]],2,FALSE),"")</f>
        <v/>
      </c>
      <c r="D164" s="174"/>
      <c r="E164" s="175"/>
      <c r="F164" s="176"/>
      <c r="G164" s="51"/>
      <c r="H164" s="174"/>
      <c r="I164" s="174"/>
      <c r="J164" s="174"/>
      <c r="K164" s="177"/>
      <c r="L164" s="99"/>
      <c r="M164" s="99"/>
      <c r="N164" s="99"/>
      <c r="O164" s="99"/>
    </row>
    <row r="165" spans="2:15">
      <c r="B165" s="173"/>
      <c r="C165" s="174" t="str">
        <f>IFERROR(VLOOKUP(D165,Tabela2[[Descrição]:[ID. Risco]],2,FALSE),"")</f>
        <v/>
      </c>
      <c r="D165" s="174"/>
      <c r="E165" s="175"/>
      <c r="F165" s="176"/>
      <c r="G165" s="51"/>
      <c r="H165" s="174"/>
      <c r="I165" s="174"/>
      <c r="J165" s="174"/>
      <c r="K165" s="177"/>
      <c r="L165" s="99"/>
      <c r="M165" s="99"/>
      <c r="N165" s="99"/>
      <c r="O165" s="99"/>
    </row>
    <row r="166" spans="2:15">
      <c r="B166" s="173"/>
      <c r="C166" s="174" t="str">
        <f>IFERROR(VLOOKUP(D166,Tabela2[[Descrição]:[ID. Risco]],2,FALSE),"")</f>
        <v/>
      </c>
      <c r="D166" s="174"/>
      <c r="E166" s="174"/>
      <c r="F166" s="178"/>
      <c r="G166" s="174"/>
      <c r="H166" s="174"/>
      <c r="I166" s="174"/>
      <c r="J166" s="174"/>
      <c r="K166" s="177"/>
      <c r="L166" s="99"/>
      <c r="M166" s="99"/>
      <c r="N166" s="99"/>
      <c r="O166" s="99"/>
    </row>
    <row r="167" spans="2:15">
      <c r="B167" s="173"/>
      <c r="C167" s="174" t="str">
        <f>IFERROR(VLOOKUP(D167,Tabela2[[Descrição]:[ID. Risco]],2,FALSE),"")</f>
        <v/>
      </c>
      <c r="D167" s="174"/>
      <c r="E167" s="174"/>
      <c r="F167" s="178"/>
      <c r="G167" s="174"/>
      <c r="H167" s="174"/>
      <c r="I167" s="174"/>
      <c r="J167" s="174"/>
      <c r="K167" s="177"/>
      <c r="L167" s="99"/>
      <c r="M167" s="99"/>
      <c r="N167" s="99"/>
      <c r="O167" s="99"/>
    </row>
    <row r="168" spans="2:15">
      <c r="B168" s="173"/>
      <c r="C168" s="174" t="str">
        <f>IFERROR(VLOOKUP(D168,Tabela2[[Descrição]:[ID. Risco]],2,FALSE),"")</f>
        <v/>
      </c>
      <c r="D168" s="174"/>
      <c r="E168" s="174"/>
      <c r="F168" s="178"/>
      <c r="G168" s="174"/>
      <c r="H168" s="174"/>
      <c r="I168" s="174"/>
      <c r="J168" s="174"/>
      <c r="K168" s="177"/>
      <c r="L168" s="99"/>
      <c r="M168" s="99"/>
      <c r="N168" s="99"/>
      <c r="O168" s="99"/>
    </row>
    <row r="169" spans="2:15">
      <c r="B169" s="173"/>
      <c r="C169" s="174" t="str">
        <f>IFERROR(VLOOKUP(D169,Tabela2[[Descrição]:[ID. Risco]],2,FALSE),"")</f>
        <v/>
      </c>
      <c r="D169" s="174"/>
      <c r="E169" s="174"/>
      <c r="F169" s="178"/>
      <c r="G169" s="174"/>
      <c r="H169" s="174"/>
      <c r="I169" s="174"/>
      <c r="J169" s="174"/>
      <c r="K169" s="177"/>
      <c r="L169" s="99"/>
      <c r="M169" s="99"/>
      <c r="N169" s="99"/>
      <c r="O169" s="99"/>
    </row>
    <row r="170" spans="2:15">
      <c r="B170" s="173"/>
      <c r="C170" s="174" t="str">
        <f>IFERROR(VLOOKUP(D170,Tabela2[[Descrição]:[ID. Risco]],2,FALSE),"")</f>
        <v/>
      </c>
      <c r="D170" s="174"/>
      <c r="E170" s="174"/>
      <c r="F170" s="178"/>
      <c r="G170" s="174"/>
      <c r="H170" s="174"/>
      <c r="I170" s="174"/>
      <c r="J170" s="174"/>
      <c r="K170" s="177"/>
      <c r="L170" s="99"/>
      <c r="M170" s="99"/>
      <c r="N170" s="99"/>
      <c r="O170" s="99"/>
    </row>
    <row r="171" spans="2:15">
      <c r="B171" s="173"/>
      <c r="C171" s="174" t="str">
        <f>IFERROR(VLOOKUP(D171,Tabela2[[Descrição]:[ID. Risco]],2,FALSE),"")</f>
        <v/>
      </c>
      <c r="D171" s="174"/>
      <c r="E171" s="174"/>
      <c r="F171" s="178"/>
      <c r="G171" s="174"/>
      <c r="H171" s="174"/>
      <c r="I171" s="174"/>
      <c r="J171" s="174"/>
      <c r="K171" s="177"/>
      <c r="L171" s="99"/>
      <c r="M171" s="99"/>
      <c r="N171" s="99"/>
      <c r="O171" s="99"/>
    </row>
    <row r="172" spans="2:15">
      <c r="B172" s="173"/>
      <c r="C172" s="174" t="str">
        <f>IFERROR(VLOOKUP(D172,Tabela2[[Descrição]:[ID. Risco]],2,FALSE),"")</f>
        <v/>
      </c>
      <c r="D172" s="174"/>
      <c r="E172" s="174"/>
      <c r="F172" s="178"/>
      <c r="G172" s="174"/>
      <c r="H172" s="174"/>
      <c r="I172" s="174"/>
      <c r="J172" s="174"/>
      <c r="K172" s="177"/>
      <c r="L172" s="99"/>
      <c r="M172" s="99"/>
      <c r="N172" s="99"/>
      <c r="O172" s="99"/>
    </row>
    <row r="173" spans="2:15">
      <c r="B173" s="173"/>
      <c r="C173" s="174" t="str">
        <f>IFERROR(VLOOKUP(D173,Tabela2[[Descrição]:[ID. Risco]],2,FALSE),"")</f>
        <v/>
      </c>
      <c r="D173" s="174"/>
      <c r="E173" s="174"/>
      <c r="F173" s="178"/>
      <c r="G173" s="174"/>
      <c r="H173" s="174"/>
      <c r="I173" s="174"/>
      <c r="J173" s="174"/>
      <c r="K173" s="177"/>
      <c r="L173" s="99"/>
      <c r="M173" s="99"/>
      <c r="N173" s="99"/>
      <c r="O173" s="99"/>
    </row>
    <row r="174" spans="2:15">
      <c r="B174" s="173"/>
      <c r="C174" s="174" t="str">
        <f>IFERROR(VLOOKUP(D174,Tabela2[[Descrição]:[ID. Risco]],2,FALSE),"")</f>
        <v/>
      </c>
      <c r="D174" s="174"/>
      <c r="E174" s="174"/>
      <c r="F174" s="178"/>
      <c r="G174" s="174"/>
      <c r="H174" s="174"/>
      <c r="I174" s="174"/>
      <c r="J174" s="174"/>
      <c r="K174" s="177"/>
      <c r="L174" s="99"/>
      <c r="M174" s="99"/>
      <c r="N174" s="99"/>
      <c r="O174" s="99"/>
    </row>
    <row r="175" spans="2:15">
      <c r="B175" s="173"/>
      <c r="C175" s="174" t="str">
        <f>IFERROR(VLOOKUP(D175,Tabela2[[Descrição]:[ID. Risco]],2,FALSE),"")</f>
        <v/>
      </c>
      <c r="D175" s="174"/>
      <c r="E175" s="174"/>
      <c r="F175" s="178"/>
      <c r="G175" s="174"/>
      <c r="H175" s="174"/>
      <c r="I175" s="174"/>
      <c r="J175" s="174"/>
      <c r="K175" s="177"/>
      <c r="L175" s="99"/>
      <c r="M175" s="99"/>
      <c r="N175" s="99"/>
      <c r="O175" s="99"/>
    </row>
    <row r="176" spans="2:15">
      <c r="B176" s="173"/>
      <c r="C176" s="174" t="str">
        <f>IFERROR(VLOOKUP(D176,Tabela2[[Descrição]:[ID. Risco]],2,FALSE),"")</f>
        <v/>
      </c>
      <c r="D176" s="174"/>
      <c r="E176" s="174"/>
      <c r="F176" s="178"/>
      <c r="G176" s="174"/>
      <c r="H176" s="174"/>
      <c r="I176" s="174"/>
      <c r="J176" s="174"/>
      <c r="K176" s="177"/>
      <c r="L176" s="99"/>
      <c r="M176" s="99"/>
      <c r="N176" s="99"/>
      <c r="O176" s="99"/>
    </row>
    <row r="177" spans="2:15">
      <c r="B177" s="173"/>
      <c r="C177" s="174" t="str">
        <f>IFERROR(VLOOKUP(D177,Tabela2[[Descrição]:[ID. Risco]],2,FALSE),"")</f>
        <v/>
      </c>
      <c r="D177" s="174"/>
      <c r="E177" s="174"/>
      <c r="F177" s="178"/>
      <c r="G177" s="174"/>
      <c r="H177" s="174"/>
      <c r="I177" s="174"/>
      <c r="J177" s="174"/>
      <c r="K177" s="177"/>
      <c r="L177" s="99"/>
      <c r="M177" s="99"/>
      <c r="N177" s="99"/>
      <c r="O177" s="99"/>
    </row>
    <row r="178" spans="2:15">
      <c r="B178" s="179"/>
      <c r="C178" s="180" t="str">
        <f>IFERROR(VLOOKUP(D178,Tabela2[[Descrição]:[ID. Risco]],2,FALSE),"")</f>
        <v/>
      </c>
      <c r="D178" s="180"/>
      <c r="E178" s="180"/>
      <c r="F178" s="181"/>
      <c r="G178" s="180"/>
      <c r="H178" s="180"/>
      <c r="I178" s="180"/>
      <c r="J178" s="180"/>
      <c r="K178" s="182"/>
      <c r="L178" s="99"/>
      <c r="M178" s="99"/>
      <c r="N178" s="99"/>
      <c r="O178" s="99"/>
    </row>
    <row r="179" spans="2:15">
      <c r="B179" s="167"/>
      <c r="C179" s="168" t="str">
        <f>IFERROR(VLOOKUP(D179,Tabela2[[Descrição]:[ID. Risco]],2,FALSE),"")</f>
        <v/>
      </c>
      <c r="D179" s="168"/>
      <c r="E179" s="169"/>
      <c r="F179" s="170"/>
      <c r="G179" s="171"/>
      <c r="H179" s="168"/>
      <c r="I179" s="168"/>
      <c r="J179" s="168"/>
      <c r="K179" s="172"/>
      <c r="L179" s="99"/>
      <c r="M179" s="99"/>
      <c r="N179" s="99"/>
      <c r="O179" s="99"/>
    </row>
    <row r="180" spans="2:15">
      <c r="B180" s="173"/>
      <c r="C180" s="174" t="str">
        <f>IFERROR(VLOOKUP(D180,Tabela2[[Descrição]:[ID. Risco]],2,FALSE),"")</f>
        <v/>
      </c>
      <c r="D180" s="174"/>
      <c r="E180" s="175"/>
      <c r="F180" s="176"/>
      <c r="G180" s="51"/>
      <c r="H180" s="174"/>
      <c r="I180" s="174"/>
      <c r="J180" s="174"/>
      <c r="K180" s="177"/>
      <c r="L180" s="99"/>
      <c r="M180" s="99"/>
      <c r="N180" s="99"/>
      <c r="O180" s="99"/>
    </row>
    <row r="181" spans="2:15">
      <c r="B181" s="173"/>
      <c r="C181" s="174" t="str">
        <f>IFERROR(VLOOKUP(D181,Tabela2[[Descrição]:[ID. Risco]],2,FALSE),"")</f>
        <v/>
      </c>
      <c r="D181" s="174"/>
      <c r="E181" s="175"/>
      <c r="F181" s="176"/>
      <c r="G181" s="51"/>
      <c r="H181" s="174"/>
      <c r="I181" s="174"/>
      <c r="J181" s="174"/>
      <c r="K181" s="177"/>
      <c r="L181" s="99"/>
      <c r="M181" s="99"/>
      <c r="N181" s="99"/>
      <c r="O181" s="99"/>
    </row>
    <row r="182" spans="2:15">
      <c r="B182" s="173"/>
      <c r="C182" s="174" t="str">
        <f>IFERROR(VLOOKUP(D182,Tabela2[[Descrição]:[ID. Risco]],2,FALSE),"")</f>
        <v/>
      </c>
      <c r="D182" s="174"/>
      <c r="E182" s="175"/>
      <c r="F182" s="176"/>
      <c r="G182" s="51"/>
      <c r="H182" s="174"/>
      <c r="I182" s="174"/>
      <c r="J182" s="174"/>
      <c r="K182" s="177"/>
      <c r="L182" s="99"/>
      <c r="M182" s="99"/>
      <c r="N182" s="99"/>
      <c r="O182" s="99"/>
    </row>
    <row r="183" spans="2:15">
      <c r="B183" s="173"/>
      <c r="C183" s="174" t="str">
        <f>IFERROR(VLOOKUP(D183,Tabela2[[Descrição]:[ID. Risco]],2,FALSE),"")</f>
        <v/>
      </c>
      <c r="D183" s="174"/>
      <c r="E183" s="175"/>
      <c r="F183" s="176"/>
      <c r="G183" s="51"/>
      <c r="H183" s="174"/>
      <c r="I183" s="174"/>
      <c r="J183" s="174"/>
      <c r="K183" s="177"/>
      <c r="L183" s="99"/>
      <c r="M183" s="99"/>
      <c r="N183" s="99"/>
      <c r="O183" s="99"/>
    </row>
    <row r="184" spans="2:15">
      <c r="B184" s="173"/>
      <c r="C184" s="174" t="str">
        <f>IFERROR(VLOOKUP(D184,Tabela2[[Descrição]:[ID. Risco]],2,FALSE),"")</f>
        <v/>
      </c>
      <c r="D184" s="174"/>
      <c r="E184" s="175"/>
      <c r="F184" s="176"/>
      <c r="G184" s="51"/>
      <c r="H184" s="174"/>
      <c r="I184" s="174"/>
      <c r="J184" s="174"/>
      <c r="K184" s="177"/>
      <c r="L184" s="99"/>
      <c r="M184" s="99"/>
      <c r="N184" s="99"/>
      <c r="O184" s="99"/>
    </row>
    <row r="185" spans="2:15">
      <c r="B185" s="173"/>
      <c r="C185" s="174" t="str">
        <f>IFERROR(VLOOKUP(D185,Tabela2[[Descrição]:[ID. Risco]],2,FALSE),"")</f>
        <v/>
      </c>
      <c r="D185" s="174"/>
      <c r="E185" s="175"/>
      <c r="F185" s="176"/>
      <c r="G185" s="51"/>
      <c r="H185" s="174"/>
      <c r="I185" s="174"/>
      <c r="J185" s="174"/>
      <c r="K185" s="177"/>
      <c r="L185" s="99"/>
      <c r="M185" s="99"/>
      <c r="N185" s="99"/>
      <c r="O185" s="99"/>
    </row>
    <row r="186" spans="2:15">
      <c r="B186" s="173"/>
      <c r="C186" s="174" t="str">
        <f>IFERROR(VLOOKUP(D186,Tabela2[[Descrição]:[ID. Risco]],2,FALSE),"")</f>
        <v/>
      </c>
      <c r="D186" s="174"/>
      <c r="E186" s="175"/>
      <c r="F186" s="176"/>
      <c r="G186" s="51"/>
      <c r="H186" s="174"/>
      <c r="I186" s="174"/>
      <c r="J186" s="174"/>
      <c r="K186" s="177"/>
      <c r="L186" s="99"/>
      <c r="M186" s="99"/>
      <c r="N186" s="99"/>
      <c r="O186" s="99"/>
    </row>
    <row r="187" spans="2:15">
      <c r="B187" s="173"/>
      <c r="C187" s="174" t="str">
        <f>IFERROR(VLOOKUP(D187,Tabela2[[Descrição]:[ID. Risco]],2,FALSE),"")</f>
        <v/>
      </c>
      <c r="D187" s="174"/>
      <c r="E187" s="175"/>
      <c r="F187" s="176"/>
      <c r="G187" s="51"/>
      <c r="H187" s="174"/>
      <c r="I187" s="174"/>
      <c r="J187" s="174"/>
      <c r="K187" s="177"/>
      <c r="L187" s="99"/>
      <c r="M187" s="99"/>
      <c r="N187" s="99"/>
      <c r="O187" s="99"/>
    </row>
    <row r="188" spans="2:15">
      <c r="B188" s="173"/>
      <c r="C188" s="174" t="str">
        <f>IFERROR(VLOOKUP(D188,Tabela2[[Descrição]:[ID. Risco]],2,FALSE),"")</f>
        <v/>
      </c>
      <c r="D188" s="174"/>
      <c r="E188" s="175"/>
      <c r="F188" s="176"/>
      <c r="G188" s="51"/>
      <c r="H188" s="174"/>
      <c r="I188" s="174"/>
      <c r="J188" s="174"/>
      <c r="K188" s="177"/>
      <c r="L188" s="99"/>
      <c r="M188" s="99"/>
      <c r="N188" s="99"/>
      <c r="O188" s="99"/>
    </row>
    <row r="189" spans="2:15">
      <c r="B189" s="173"/>
      <c r="C189" s="174" t="str">
        <f>IFERROR(VLOOKUP(D189,Tabela2[[Descrição]:[ID. Risco]],2,FALSE),"")</f>
        <v/>
      </c>
      <c r="D189" s="174"/>
      <c r="E189" s="175"/>
      <c r="F189" s="176"/>
      <c r="G189" s="51"/>
      <c r="H189" s="174"/>
      <c r="I189" s="174"/>
      <c r="J189" s="174"/>
      <c r="K189" s="177"/>
      <c r="L189" s="99"/>
      <c r="M189" s="99"/>
      <c r="N189" s="99"/>
      <c r="O189" s="99"/>
    </row>
    <row r="190" spans="2:15">
      <c r="B190" s="173"/>
      <c r="C190" s="174" t="str">
        <f>IFERROR(VLOOKUP(D190,Tabela2[[Descrição]:[ID. Risco]],2,FALSE),"")</f>
        <v/>
      </c>
      <c r="D190" s="174"/>
      <c r="E190" s="175"/>
      <c r="F190" s="176"/>
      <c r="G190" s="51"/>
      <c r="H190" s="174"/>
      <c r="I190" s="174"/>
      <c r="J190" s="174"/>
      <c r="K190" s="177"/>
      <c r="L190" s="99"/>
      <c r="M190" s="99"/>
      <c r="N190" s="99"/>
      <c r="O190" s="99"/>
    </row>
    <row r="191" spans="2:15">
      <c r="B191" s="173"/>
      <c r="C191" s="174" t="str">
        <f>IFERROR(VLOOKUP(D191,Tabela2[[Descrição]:[ID. Risco]],2,FALSE),"")</f>
        <v/>
      </c>
      <c r="D191" s="174"/>
      <c r="E191" s="174"/>
      <c r="F191" s="178"/>
      <c r="G191" s="174"/>
      <c r="H191" s="174"/>
      <c r="I191" s="174"/>
      <c r="J191" s="174"/>
      <c r="K191" s="177"/>
      <c r="L191" s="99"/>
      <c r="M191" s="99"/>
      <c r="N191" s="99"/>
      <c r="O191" s="99"/>
    </row>
    <row r="192" spans="2:15">
      <c r="B192" s="173"/>
      <c r="C192" s="174" t="str">
        <f>IFERROR(VLOOKUP(D192,Tabela2[[Descrição]:[ID. Risco]],2,FALSE),"")</f>
        <v/>
      </c>
      <c r="D192" s="174"/>
      <c r="E192" s="174"/>
      <c r="F192" s="178"/>
      <c r="G192" s="174"/>
      <c r="H192" s="174"/>
      <c r="I192" s="174"/>
      <c r="J192" s="174"/>
      <c r="K192" s="177"/>
      <c r="L192" s="99"/>
      <c r="M192" s="99"/>
      <c r="N192" s="99"/>
      <c r="O192" s="99"/>
    </row>
    <row r="193" spans="2:15">
      <c r="B193" s="173"/>
      <c r="C193" s="174" t="str">
        <f>IFERROR(VLOOKUP(D193,Tabela2[[Descrição]:[ID. Risco]],2,FALSE),"")</f>
        <v/>
      </c>
      <c r="D193" s="174"/>
      <c r="E193" s="174"/>
      <c r="F193" s="178"/>
      <c r="G193" s="174"/>
      <c r="H193" s="174"/>
      <c r="I193" s="174"/>
      <c r="J193" s="174"/>
      <c r="K193" s="177"/>
      <c r="L193" s="99"/>
      <c r="M193" s="99"/>
      <c r="N193" s="99"/>
      <c r="O193" s="99"/>
    </row>
    <row r="194" spans="2:15">
      <c r="B194" s="173"/>
      <c r="C194" s="174" t="str">
        <f>IFERROR(VLOOKUP(D194,Tabela2[[Descrição]:[ID. Risco]],2,FALSE),"")</f>
        <v/>
      </c>
      <c r="D194" s="174"/>
      <c r="E194" s="174"/>
      <c r="F194" s="178"/>
      <c r="G194" s="174"/>
      <c r="H194" s="174"/>
      <c r="I194" s="174"/>
      <c r="J194" s="174"/>
      <c r="K194" s="177"/>
      <c r="L194" s="99"/>
      <c r="M194" s="99"/>
      <c r="N194" s="99"/>
      <c r="O194" s="99"/>
    </row>
    <row r="195" spans="2:15">
      <c r="B195" s="173"/>
      <c r="C195" s="174" t="str">
        <f>IFERROR(VLOOKUP(D195,Tabela2[[Descrição]:[ID. Risco]],2,FALSE),"")</f>
        <v/>
      </c>
      <c r="D195" s="174"/>
      <c r="E195" s="174"/>
      <c r="F195" s="178"/>
      <c r="G195" s="174"/>
      <c r="H195" s="174"/>
      <c r="I195" s="174"/>
      <c r="J195" s="174"/>
      <c r="K195" s="177"/>
      <c r="L195" s="99"/>
      <c r="M195" s="99"/>
      <c r="N195" s="99"/>
      <c r="O195" s="99"/>
    </row>
    <row r="196" spans="2:15">
      <c r="B196" s="173"/>
      <c r="C196" s="174" t="str">
        <f>IFERROR(VLOOKUP(D196,Tabela2[[Descrição]:[ID. Risco]],2,FALSE),"")</f>
        <v/>
      </c>
      <c r="D196" s="174"/>
      <c r="E196" s="174"/>
      <c r="F196" s="178"/>
      <c r="G196" s="174"/>
      <c r="H196" s="174"/>
      <c r="I196" s="174"/>
      <c r="J196" s="174"/>
      <c r="K196" s="177"/>
      <c r="L196" s="99"/>
      <c r="M196" s="99"/>
      <c r="N196" s="99"/>
      <c r="O196" s="99"/>
    </row>
    <row r="197" spans="2:15">
      <c r="B197" s="173"/>
      <c r="C197" s="174" t="str">
        <f>IFERROR(VLOOKUP(D197,Tabela2[[Descrição]:[ID. Risco]],2,FALSE),"")</f>
        <v/>
      </c>
      <c r="D197" s="174"/>
      <c r="E197" s="174"/>
      <c r="F197" s="178"/>
      <c r="G197" s="174"/>
      <c r="H197" s="174"/>
      <c r="I197" s="174"/>
      <c r="J197" s="174"/>
      <c r="K197" s="177"/>
      <c r="L197" s="99"/>
      <c r="M197" s="99"/>
      <c r="N197" s="99"/>
      <c r="O197" s="99"/>
    </row>
    <row r="198" spans="2:15">
      <c r="B198" s="173"/>
      <c r="C198" s="174" t="str">
        <f>IFERROR(VLOOKUP(D198,Tabela2[[Descrição]:[ID. Risco]],2,FALSE),"")</f>
        <v/>
      </c>
      <c r="D198" s="174"/>
      <c r="E198" s="174"/>
      <c r="F198" s="178"/>
      <c r="G198" s="174"/>
      <c r="H198" s="174"/>
      <c r="I198" s="174"/>
      <c r="J198" s="174"/>
      <c r="K198" s="177"/>
      <c r="L198" s="99"/>
      <c r="M198" s="99"/>
      <c r="N198" s="99"/>
      <c r="O198" s="99"/>
    </row>
    <row r="199" spans="2:15">
      <c r="B199" s="173"/>
      <c r="C199" s="174" t="str">
        <f>IFERROR(VLOOKUP(D199,Tabela2[[Descrição]:[ID. Risco]],2,FALSE),"")</f>
        <v/>
      </c>
      <c r="D199" s="174"/>
      <c r="E199" s="174"/>
      <c r="F199" s="178"/>
      <c r="G199" s="174"/>
      <c r="H199" s="174"/>
      <c r="I199" s="174"/>
      <c r="J199" s="174"/>
      <c r="K199" s="177"/>
      <c r="L199" s="99"/>
      <c r="M199" s="99"/>
      <c r="N199" s="99"/>
      <c r="O199" s="99"/>
    </row>
    <row r="200" spans="2:15">
      <c r="B200" s="173"/>
      <c r="C200" s="174" t="str">
        <f>IFERROR(VLOOKUP(D200,Tabela2[[Descrição]:[ID. Risco]],2,FALSE),"")</f>
        <v/>
      </c>
      <c r="D200" s="174"/>
      <c r="E200" s="174"/>
      <c r="F200" s="178"/>
      <c r="G200" s="174"/>
      <c r="H200" s="174"/>
      <c r="I200" s="174"/>
      <c r="J200" s="174"/>
      <c r="K200" s="177"/>
      <c r="L200" s="99"/>
      <c r="M200" s="99"/>
      <c r="N200" s="99"/>
      <c r="O200" s="99"/>
    </row>
    <row r="201" spans="2:15">
      <c r="B201" s="173"/>
      <c r="C201" s="174" t="str">
        <f>IFERROR(VLOOKUP(D201,Tabela2[[Descrição]:[ID. Risco]],2,FALSE),"")</f>
        <v/>
      </c>
      <c r="D201" s="174"/>
      <c r="E201" s="174"/>
      <c r="F201" s="178"/>
      <c r="G201" s="174"/>
      <c r="H201" s="174"/>
      <c r="I201" s="174"/>
      <c r="J201" s="174"/>
      <c r="K201" s="177"/>
      <c r="L201" s="99"/>
      <c r="M201" s="99"/>
      <c r="N201" s="99"/>
      <c r="O201" s="99"/>
    </row>
    <row r="202" spans="2:15">
      <c r="B202" s="173"/>
      <c r="C202" s="174" t="str">
        <f>IFERROR(VLOOKUP(D202,Tabela2[[Descrição]:[ID. Risco]],2,FALSE),"")</f>
        <v/>
      </c>
      <c r="D202" s="174"/>
      <c r="E202" s="174"/>
      <c r="F202" s="178"/>
      <c r="G202" s="174"/>
      <c r="H202" s="174"/>
      <c r="I202" s="174"/>
      <c r="J202" s="174"/>
      <c r="K202" s="177"/>
      <c r="L202" s="99"/>
      <c r="M202" s="99"/>
      <c r="N202" s="99"/>
      <c r="O202" s="99"/>
    </row>
    <row r="203" spans="2:15">
      <c r="B203" s="179"/>
      <c r="C203" s="180" t="str">
        <f>IFERROR(VLOOKUP(D203,Tabela2[[Descrição]:[ID. Risco]],2,FALSE),"")</f>
        <v/>
      </c>
      <c r="D203" s="180"/>
      <c r="E203" s="180"/>
      <c r="F203" s="181"/>
      <c r="G203" s="180"/>
      <c r="H203" s="180"/>
      <c r="I203" s="180"/>
      <c r="J203" s="180"/>
      <c r="K203" s="182"/>
      <c r="L203" s="99"/>
      <c r="M203" s="99"/>
      <c r="N203" s="99"/>
      <c r="O203" s="99"/>
    </row>
    <row r="204" spans="2:15">
      <c r="B204" s="167"/>
      <c r="C204" s="168" t="str">
        <f>IFERROR(VLOOKUP(D204,Tabela2[[Descrição]:[ID. Risco]],2,FALSE),"")</f>
        <v/>
      </c>
      <c r="D204" s="168"/>
      <c r="E204" s="169"/>
      <c r="F204" s="170"/>
      <c r="G204" s="171"/>
      <c r="H204" s="168"/>
      <c r="I204" s="168"/>
      <c r="J204" s="168"/>
      <c r="K204" s="172"/>
      <c r="L204" s="99"/>
      <c r="M204" s="99"/>
      <c r="N204" s="99"/>
      <c r="O204" s="99"/>
    </row>
    <row r="205" spans="2:15">
      <c r="B205" s="173"/>
      <c r="C205" s="174" t="str">
        <f>IFERROR(VLOOKUP(D205,Tabela2[[Descrição]:[ID. Risco]],2,FALSE),"")</f>
        <v/>
      </c>
      <c r="D205" s="174"/>
      <c r="E205" s="175"/>
      <c r="F205" s="176"/>
      <c r="G205" s="51"/>
      <c r="H205" s="174"/>
      <c r="I205" s="174"/>
      <c r="J205" s="174"/>
      <c r="K205" s="177"/>
      <c r="L205" s="99"/>
      <c r="M205" s="99"/>
      <c r="N205" s="99"/>
      <c r="O205" s="99"/>
    </row>
    <row r="206" spans="2:15">
      <c r="B206" s="173"/>
      <c r="C206" s="174" t="str">
        <f>IFERROR(VLOOKUP(D206,Tabela2[[Descrição]:[ID. Risco]],2,FALSE),"")</f>
        <v/>
      </c>
      <c r="D206" s="174"/>
      <c r="E206" s="175"/>
      <c r="F206" s="176"/>
      <c r="G206" s="51"/>
      <c r="H206" s="174"/>
      <c r="I206" s="174"/>
      <c r="J206" s="174"/>
      <c r="K206" s="177"/>
      <c r="L206" s="99"/>
      <c r="M206" s="99"/>
      <c r="N206" s="99"/>
      <c r="O206" s="99"/>
    </row>
    <row r="207" spans="2:15">
      <c r="B207" s="173"/>
      <c r="C207" s="174" t="str">
        <f>IFERROR(VLOOKUP(D207,Tabela2[[Descrição]:[ID. Risco]],2,FALSE),"")</f>
        <v/>
      </c>
      <c r="D207" s="174"/>
      <c r="E207" s="175"/>
      <c r="F207" s="176"/>
      <c r="G207" s="51"/>
      <c r="H207" s="174"/>
      <c r="I207" s="174"/>
      <c r="J207" s="174"/>
      <c r="K207" s="177"/>
      <c r="L207" s="99"/>
      <c r="M207" s="99"/>
      <c r="N207" s="99"/>
      <c r="O207" s="99"/>
    </row>
    <row r="208" spans="2:15">
      <c r="B208" s="173"/>
      <c r="C208" s="174" t="str">
        <f>IFERROR(VLOOKUP(D208,Tabela2[[Descrição]:[ID. Risco]],2,FALSE),"")</f>
        <v/>
      </c>
      <c r="D208" s="174"/>
      <c r="E208" s="175"/>
      <c r="F208" s="176"/>
      <c r="G208" s="51"/>
      <c r="H208" s="174"/>
      <c r="I208" s="174"/>
      <c r="J208" s="174"/>
      <c r="K208" s="177"/>
      <c r="L208" s="99"/>
      <c r="M208" s="99"/>
      <c r="N208" s="99"/>
      <c r="O208" s="99"/>
    </row>
    <row r="209" spans="2:15">
      <c r="B209" s="173"/>
      <c r="C209" s="174" t="str">
        <f>IFERROR(VLOOKUP(D209,Tabela2[[Descrição]:[ID. Risco]],2,FALSE),"")</f>
        <v/>
      </c>
      <c r="D209" s="174"/>
      <c r="E209" s="175"/>
      <c r="F209" s="176"/>
      <c r="G209" s="51"/>
      <c r="H209" s="174"/>
      <c r="I209" s="174"/>
      <c r="J209" s="174"/>
      <c r="K209" s="177"/>
      <c r="L209" s="99"/>
      <c r="M209" s="99"/>
      <c r="N209" s="99"/>
      <c r="O209" s="99"/>
    </row>
    <row r="210" spans="2:15">
      <c r="B210" s="173"/>
      <c r="C210" s="174" t="str">
        <f>IFERROR(VLOOKUP(D210,Tabela2[[Descrição]:[ID. Risco]],2,FALSE),"")</f>
        <v/>
      </c>
      <c r="D210" s="174"/>
      <c r="E210" s="175"/>
      <c r="F210" s="176"/>
      <c r="G210" s="51"/>
      <c r="H210" s="174"/>
      <c r="I210" s="174"/>
      <c r="J210" s="174"/>
      <c r="K210" s="177"/>
      <c r="L210" s="99"/>
      <c r="M210" s="99"/>
      <c r="N210" s="99"/>
      <c r="O210" s="99"/>
    </row>
    <row r="211" spans="2:15">
      <c r="B211" s="173"/>
      <c r="C211" s="174" t="str">
        <f>IFERROR(VLOOKUP(D211,Tabela2[[Descrição]:[ID. Risco]],2,FALSE),"")</f>
        <v/>
      </c>
      <c r="D211" s="174"/>
      <c r="E211" s="175"/>
      <c r="F211" s="176"/>
      <c r="G211" s="51"/>
      <c r="H211" s="174"/>
      <c r="I211" s="174"/>
      <c r="J211" s="174"/>
      <c r="K211" s="177"/>
      <c r="L211" s="99"/>
      <c r="M211" s="99"/>
      <c r="N211" s="99"/>
      <c r="O211" s="99"/>
    </row>
    <row r="212" spans="2:15">
      <c r="B212" s="173"/>
      <c r="C212" s="174" t="str">
        <f>IFERROR(VLOOKUP(D212,Tabela2[[Descrição]:[ID. Risco]],2,FALSE),"")</f>
        <v/>
      </c>
      <c r="D212" s="174"/>
      <c r="E212" s="175"/>
      <c r="F212" s="176"/>
      <c r="G212" s="51"/>
      <c r="H212" s="174"/>
      <c r="I212" s="174"/>
      <c r="J212" s="174"/>
      <c r="K212" s="177"/>
      <c r="L212" s="99"/>
      <c r="M212" s="99"/>
      <c r="N212" s="99"/>
      <c r="O212" s="99"/>
    </row>
    <row r="213" spans="2:15">
      <c r="B213" s="173"/>
      <c r="C213" s="174" t="str">
        <f>IFERROR(VLOOKUP(D213,Tabela2[[Descrição]:[ID. Risco]],2,FALSE),"")</f>
        <v/>
      </c>
      <c r="D213" s="174"/>
      <c r="E213" s="175"/>
      <c r="F213" s="176"/>
      <c r="G213" s="51"/>
      <c r="H213" s="174"/>
      <c r="I213" s="174"/>
      <c r="J213" s="174"/>
      <c r="K213" s="177"/>
      <c r="L213" s="99"/>
      <c r="M213" s="99"/>
      <c r="N213" s="99"/>
      <c r="O213" s="99"/>
    </row>
    <row r="214" spans="2:15">
      <c r="B214" s="173"/>
      <c r="C214" s="174" t="str">
        <f>IFERROR(VLOOKUP(D214,Tabela2[[Descrição]:[ID. Risco]],2,FALSE),"")</f>
        <v/>
      </c>
      <c r="D214" s="174"/>
      <c r="E214" s="175"/>
      <c r="F214" s="176"/>
      <c r="G214" s="51"/>
      <c r="H214" s="174"/>
      <c r="I214" s="174"/>
      <c r="J214" s="174"/>
      <c r="K214" s="177"/>
      <c r="L214" s="99"/>
      <c r="M214" s="99"/>
      <c r="N214" s="99"/>
      <c r="O214" s="99"/>
    </row>
    <row r="215" spans="2:15">
      <c r="B215" s="173"/>
      <c r="C215" s="174" t="str">
        <f>IFERROR(VLOOKUP(D215,Tabela2[[Descrição]:[ID. Risco]],2,FALSE),"")</f>
        <v/>
      </c>
      <c r="D215" s="174"/>
      <c r="E215" s="175"/>
      <c r="F215" s="176"/>
      <c r="G215" s="51"/>
      <c r="H215" s="174"/>
      <c r="I215" s="174"/>
      <c r="J215" s="174"/>
      <c r="K215" s="177"/>
      <c r="L215" s="99"/>
      <c r="M215" s="99"/>
      <c r="N215" s="99"/>
      <c r="O215" s="99"/>
    </row>
    <row r="216" spans="2:15">
      <c r="B216" s="173"/>
      <c r="C216" s="174" t="str">
        <f>IFERROR(VLOOKUP(D216,Tabela2[[Descrição]:[ID. Risco]],2,FALSE),"")</f>
        <v/>
      </c>
      <c r="D216" s="174"/>
      <c r="E216" s="174"/>
      <c r="F216" s="178"/>
      <c r="G216" s="174"/>
      <c r="H216" s="174"/>
      <c r="I216" s="174"/>
      <c r="J216" s="174"/>
      <c r="K216" s="177"/>
      <c r="L216" s="99"/>
      <c r="M216" s="99"/>
      <c r="N216" s="99"/>
      <c r="O216" s="99"/>
    </row>
    <row r="217" spans="2:15">
      <c r="B217" s="173"/>
      <c r="C217" s="174" t="str">
        <f>IFERROR(VLOOKUP(D217,Tabela2[[Descrição]:[ID. Risco]],2,FALSE),"")</f>
        <v/>
      </c>
      <c r="D217" s="174"/>
      <c r="E217" s="174"/>
      <c r="F217" s="178"/>
      <c r="G217" s="174"/>
      <c r="H217" s="174"/>
      <c r="I217" s="174"/>
      <c r="J217" s="174"/>
      <c r="K217" s="177"/>
      <c r="L217" s="99"/>
      <c r="M217" s="99"/>
      <c r="N217" s="99"/>
      <c r="O217" s="99"/>
    </row>
    <row r="218" spans="2:15">
      <c r="B218" s="173"/>
      <c r="C218" s="174" t="str">
        <f>IFERROR(VLOOKUP(D218,Tabela2[[Descrição]:[ID. Risco]],2,FALSE),"")</f>
        <v/>
      </c>
      <c r="D218" s="174"/>
      <c r="E218" s="174"/>
      <c r="F218" s="178"/>
      <c r="G218" s="174"/>
      <c r="H218" s="174"/>
      <c r="I218" s="174"/>
      <c r="J218" s="174"/>
      <c r="K218" s="177"/>
      <c r="L218" s="99"/>
      <c r="M218" s="99"/>
      <c r="N218" s="99"/>
      <c r="O218" s="99"/>
    </row>
    <row r="219" spans="2:15">
      <c r="B219" s="173"/>
      <c r="C219" s="174" t="str">
        <f>IFERROR(VLOOKUP(D219,Tabela2[[Descrição]:[ID. Risco]],2,FALSE),"")</f>
        <v/>
      </c>
      <c r="D219" s="174"/>
      <c r="E219" s="174"/>
      <c r="F219" s="178"/>
      <c r="G219" s="174"/>
      <c r="H219" s="174"/>
      <c r="I219" s="174"/>
      <c r="J219" s="174"/>
      <c r="K219" s="177"/>
      <c r="L219" s="99"/>
      <c r="M219" s="99"/>
      <c r="N219" s="99"/>
      <c r="O219" s="99"/>
    </row>
    <row r="220" spans="2:15">
      <c r="B220" s="173"/>
      <c r="C220" s="174" t="str">
        <f>IFERROR(VLOOKUP(D220,Tabela2[[Descrição]:[ID. Risco]],2,FALSE),"")</f>
        <v/>
      </c>
      <c r="D220" s="174"/>
      <c r="E220" s="174"/>
      <c r="F220" s="178"/>
      <c r="G220" s="174"/>
      <c r="H220" s="174"/>
      <c r="I220" s="174"/>
      <c r="J220" s="174"/>
      <c r="K220" s="177"/>
      <c r="L220" s="99"/>
      <c r="M220" s="99"/>
      <c r="N220" s="99"/>
      <c r="O220" s="99"/>
    </row>
    <row r="221" spans="2:15">
      <c r="B221" s="173"/>
      <c r="C221" s="174" t="str">
        <f>IFERROR(VLOOKUP(D221,Tabela2[[Descrição]:[ID. Risco]],2,FALSE),"")</f>
        <v/>
      </c>
      <c r="D221" s="174"/>
      <c r="E221" s="174"/>
      <c r="F221" s="178"/>
      <c r="G221" s="174"/>
      <c r="H221" s="174"/>
      <c r="I221" s="174"/>
      <c r="J221" s="174"/>
      <c r="K221" s="177"/>
      <c r="L221" s="99"/>
      <c r="M221" s="99"/>
      <c r="N221" s="99"/>
      <c r="O221" s="99"/>
    </row>
    <row r="222" spans="2:15">
      <c r="B222" s="173"/>
      <c r="C222" s="174" t="str">
        <f>IFERROR(VLOOKUP(D222,Tabela2[[Descrição]:[ID. Risco]],2,FALSE),"")</f>
        <v/>
      </c>
      <c r="D222" s="174"/>
      <c r="E222" s="174"/>
      <c r="F222" s="178"/>
      <c r="G222" s="174"/>
      <c r="H222" s="174"/>
      <c r="I222" s="174"/>
      <c r="J222" s="174"/>
      <c r="K222" s="177"/>
      <c r="L222" s="99"/>
      <c r="M222" s="99"/>
      <c r="N222" s="99"/>
      <c r="O222" s="99"/>
    </row>
    <row r="223" spans="2:15">
      <c r="B223" s="173"/>
      <c r="C223" s="174" t="str">
        <f>IFERROR(VLOOKUP(D223,Tabela2[[Descrição]:[ID. Risco]],2,FALSE),"")</f>
        <v/>
      </c>
      <c r="D223" s="174"/>
      <c r="E223" s="174"/>
      <c r="F223" s="178"/>
      <c r="G223" s="174"/>
      <c r="H223" s="174"/>
      <c r="I223" s="174"/>
      <c r="J223" s="174"/>
      <c r="K223" s="177"/>
      <c r="L223" s="99"/>
      <c r="M223" s="99"/>
      <c r="N223" s="99"/>
      <c r="O223" s="99"/>
    </row>
    <row r="224" spans="2:15">
      <c r="B224" s="173"/>
      <c r="C224" s="174" t="str">
        <f>IFERROR(VLOOKUP(D224,Tabela2[[Descrição]:[ID. Risco]],2,FALSE),"")</f>
        <v/>
      </c>
      <c r="D224" s="174"/>
      <c r="E224" s="174"/>
      <c r="F224" s="178"/>
      <c r="G224" s="174"/>
      <c r="H224" s="174"/>
      <c r="I224" s="174"/>
      <c r="J224" s="174"/>
      <c r="K224" s="177"/>
      <c r="L224" s="99"/>
      <c r="M224" s="99"/>
      <c r="N224" s="99"/>
      <c r="O224" s="99"/>
    </row>
    <row r="225" spans="2:15">
      <c r="B225" s="173"/>
      <c r="C225" s="174" t="str">
        <f>IFERROR(VLOOKUP(D225,Tabela2[[Descrição]:[ID. Risco]],2,FALSE),"")</f>
        <v/>
      </c>
      <c r="D225" s="174"/>
      <c r="E225" s="174"/>
      <c r="F225" s="178"/>
      <c r="G225" s="174"/>
      <c r="H225" s="174"/>
      <c r="I225" s="174"/>
      <c r="J225" s="174"/>
      <c r="K225" s="177"/>
      <c r="L225" s="99"/>
      <c r="M225" s="99"/>
      <c r="N225" s="99"/>
      <c r="O225" s="99"/>
    </row>
    <row r="226" spans="2:15">
      <c r="B226" s="173"/>
      <c r="C226" s="174" t="str">
        <f>IFERROR(VLOOKUP(D226,Tabela2[[Descrição]:[ID. Risco]],2,FALSE),"")</f>
        <v/>
      </c>
      <c r="D226" s="174"/>
      <c r="E226" s="174"/>
      <c r="F226" s="178"/>
      <c r="G226" s="174"/>
      <c r="H226" s="174"/>
      <c r="I226" s="174"/>
      <c r="J226" s="174"/>
      <c r="K226" s="177"/>
      <c r="L226" s="99"/>
      <c r="M226" s="99"/>
      <c r="N226" s="99"/>
      <c r="O226" s="99"/>
    </row>
    <row r="227" spans="2:15">
      <c r="B227" s="173"/>
      <c r="C227" s="174" t="str">
        <f>IFERROR(VLOOKUP(D227,Tabela2[[Descrição]:[ID. Risco]],2,FALSE),"")</f>
        <v/>
      </c>
      <c r="D227" s="174"/>
      <c r="E227" s="174"/>
      <c r="F227" s="178"/>
      <c r="G227" s="174"/>
      <c r="H227" s="174"/>
      <c r="I227" s="174"/>
      <c r="J227" s="174"/>
      <c r="K227" s="177"/>
      <c r="L227" s="99"/>
      <c r="M227" s="99"/>
      <c r="N227" s="99"/>
      <c r="O227" s="99"/>
    </row>
    <row r="228" spans="2:15">
      <c r="B228" s="179"/>
      <c r="C228" s="180" t="str">
        <f>IFERROR(VLOOKUP(D228,Tabela2[[Descrição]:[ID. Risco]],2,FALSE),"")</f>
        <v/>
      </c>
      <c r="D228" s="180"/>
      <c r="E228" s="180"/>
      <c r="F228" s="181"/>
      <c r="G228" s="180"/>
      <c r="H228" s="180"/>
      <c r="I228" s="180"/>
      <c r="J228" s="180"/>
      <c r="K228" s="182"/>
      <c r="L228" s="99"/>
      <c r="M228" s="99"/>
      <c r="N228" s="99"/>
      <c r="O228" s="99"/>
    </row>
    <row r="229" spans="2:15">
      <c r="B229" s="167"/>
      <c r="C229" s="168" t="str">
        <f>IFERROR(VLOOKUP(D229,Tabela2[[Descrição]:[ID. Risco]],2,FALSE),"")</f>
        <v/>
      </c>
      <c r="D229" s="168"/>
      <c r="E229" s="169"/>
      <c r="F229" s="170"/>
      <c r="G229" s="171"/>
      <c r="H229" s="168"/>
      <c r="I229" s="168"/>
      <c r="J229" s="168"/>
      <c r="K229" s="172"/>
      <c r="L229" s="99"/>
      <c r="M229" s="99"/>
      <c r="N229" s="99"/>
      <c r="O229" s="99"/>
    </row>
    <row r="230" spans="2:15">
      <c r="B230" s="173"/>
      <c r="C230" s="174" t="str">
        <f>IFERROR(VLOOKUP(D230,Tabela2[[Descrição]:[ID. Risco]],2,FALSE),"")</f>
        <v/>
      </c>
      <c r="D230" s="174"/>
      <c r="E230" s="175"/>
      <c r="F230" s="176"/>
      <c r="G230" s="51"/>
      <c r="H230" s="174"/>
      <c r="I230" s="174"/>
      <c r="J230" s="174"/>
      <c r="K230" s="177"/>
      <c r="L230" s="99"/>
      <c r="M230" s="99"/>
      <c r="N230" s="99"/>
      <c r="O230" s="99"/>
    </row>
    <row r="231" spans="2:15">
      <c r="B231" s="173"/>
      <c r="C231" s="174" t="str">
        <f>IFERROR(VLOOKUP(D231,Tabela2[[Descrição]:[ID. Risco]],2,FALSE),"")</f>
        <v/>
      </c>
      <c r="D231" s="174"/>
      <c r="E231" s="175"/>
      <c r="F231" s="176"/>
      <c r="G231" s="51"/>
      <c r="H231" s="174"/>
      <c r="I231" s="174"/>
      <c r="J231" s="174"/>
      <c r="K231" s="177"/>
      <c r="L231" s="99"/>
      <c r="M231" s="99"/>
      <c r="N231" s="99"/>
      <c r="O231" s="99"/>
    </row>
    <row r="232" spans="2:15">
      <c r="B232" s="173"/>
      <c r="C232" s="174" t="str">
        <f>IFERROR(VLOOKUP(D232,Tabela2[[Descrição]:[ID. Risco]],2,FALSE),"")</f>
        <v/>
      </c>
      <c r="D232" s="174"/>
      <c r="E232" s="175"/>
      <c r="F232" s="176"/>
      <c r="G232" s="51"/>
      <c r="H232" s="174"/>
      <c r="I232" s="174"/>
      <c r="J232" s="174"/>
      <c r="K232" s="177"/>
      <c r="L232" s="99"/>
      <c r="M232" s="99"/>
      <c r="N232" s="99"/>
      <c r="O232" s="99"/>
    </row>
    <row r="233" spans="2:15">
      <c r="B233" s="173"/>
      <c r="C233" s="174" t="str">
        <f>IFERROR(VLOOKUP(D233,Tabela2[[Descrição]:[ID. Risco]],2,FALSE),"")</f>
        <v/>
      </c>
      <c r="D233" s="174"/>
      <c r="E233" s="175"/>
      <c r="F233" s="176"/>
      <c r="G233" s="51"/>
      <c r="H233" s="174"/>
      <c r="I233" s="174"/>
      <c r="J233" s="174"/>
      <c r="K233" s="177"/>
      <c r="L233" s="99"/>
      <c r="M233" s="99"/>
      <c r="N233" s="99"/>
      <c r="O233" s="99"/>
    </row>
    <row r="234" spans="2:15">
      <c r="B234" s="173"/>
      <c r="C234" s="174" t="str">
        <f>IFERROR(VLOOKUP(D234,Tabela2[[Descrição]:[ID. Risco]],2,FALSE),"")</f>
        <v/>
      </c>
      <c r="D234" s="174"/>
      <c r="E234" s="175"/>
      <c r="F234" s="176"/>
      <c r="G234" s="51"/>
      <c r="H234" s="174"/>
      <c r="I234" s="174"/>
      <c r="J234" s="174"/>
      <c r="K234" s="177"/>
      <c r="L234" s="99"/>
      <c r="M234" s="99"/>
      <c r="N234" s="99"/>
      <c r="O234" s="99"/>
    </row>
    <row r="235" spans="2:15">
      <c r="B235" s="173"/>
      <c r="C235" s="174" t="str">
        <f>IFERROR(VLOOKUP(D235,Tabela2[[Descrição]:[ID. Risco]],2,FALSE),"")</f>
        <v/>
      </c>
      <c r="D235" s="174"/>
      <c r="E235" s="175"/>
      <c r="F235" s="176"/>
      <c r="G235" s="51"/>
      <c r="H235" s="174"/>
      <c r="I235" s="174"/>
      <c r="J235" s="174"/>
      <c r="K235" s="177"/>
      <c r="L235" s="99"/>
      <c r="M235" s="99"/>
      <c r="N235" s="99"/>
      <c r="O235" s="99"/>
    </row>
    <row r="236" spans="2:15">
      <c r="B236" s="173"/>
      <c r="C236" s="174" t="str">
        <f>IFERROR(VLOOKUP(D236,Tabela2[[Descrição]:[ID. Risco]],2,FALSE),"")</f>
        <v/>
      </c>
      <c r="D236" s="174"/>
      <c r="E236" s="175"/>
      <c r="F236" s="176"/>
      <c r="G236" s="51"/>
      <c r="H236" s="174"/>
      <c r="I236" s="174"/>
      <c r="J236" s="174"/>
      <c r="K236" s="177"/>
      <c r="L236" s="99"/>
      <c r="M236" s="99"/>
      <c r="N236" s="99"/>
      <c r="O236" s="99"/>
    </row>
    <row r="237" spans="2:15">
      <c r="B237" s="173"/>
      <c r="C237" s="174" t="str">
        <f>IFERROR(VLOOKUP(D237,Tabela2[[Descrição]:[ID. Risco]],2,FALSE),"")</f>
        <v/>
      </c>
      <c r="D237" s="174"/>
      <c r="E237" s="175"/>
      <c r="F237" s="176"/>
      <c r="G237" s="51"/>
      <c r="H237" s="174"/>
      <c r="I237" s="174"/>
      <c r="J237" s="174"/>
      <c r="K237" s="177"/>
      <c r="L237" s="99"/>
      <c r="M237" s="99"/>
      <c r="N237" s="99"/>
      <c r="O237" s="99"/>
    </row>
    <row r="238" spans="2:15">
      <c r="B238" s="173"/>
      <c r="C238" s="174" t="str">
        <f>IFERROR(VLOOKUP(D238,Tabela2[[Descrição]:[ID. Risco]],2,FALSE),"")</f>
        <v/>
      </c>
      <c r="D238" s="174"/>
      <c r="E238" s="175"/>
      <c r="F238" s="176"/>
      <c r="G238" s="51"/>
      <c r="H238" s="174"/>
      <c r="I238" s="174"/>
      <c r="J238" s="174"/>
      <c r="K238" s="177"/>
      <c r="L238" s="99"/>
      <c r="M238" s="99"/>
      <c r="N238" s="99"/>
      <c r="O238" s="99"/>
    </row>
    <row r="239" spans="2:15">
      <c r="B239" s="173"/>
      <c r="C239" s="174" t="str">
        <f>IFERROR(VLOOKUP(D239,Tabela2[[Descrição]:[ID. Risco]],2,FALSE),"")</f>
        <v/>
      </c>
      <c r="D239" s="174"/>
      <c r="E239" s="175"/>
      <c r="F239" s="176"/>
      <c r="G239" s="51"/>
      <c r="H239" s="174"/>
      <c r="I239" s="174"/>
      <c r="J239" s="174"/>
      <c r="K239" s="177"/>
      <c r="L239" s="99"/>
      <c r="M239" s="99"/>
      <c r="N239" s="99"/>
      <c r="O239" s="99"/>
    </row>
    <row r="240" spans="2:15">
      <c r="B240" s="173"/>
      <c r="C240" s="174" t="str">
        <f>IFERROR(VLOOKUP(D240,Tabela2[[Descrição]:[ID. Risco]],2,FALSE),"")</f>
        <v/>
      </c>
      <c r="D240" s="174"/>
      <c r="E240" s="175"/>
      <c r="F240" s="176"/>
      <c r="G240" s="51"/>
      <c r="H240" s="174"/>
      <c r="I240" s="174"/>
      <c r="J240" s="174"/>
      <c r="K240" s="177"/>
      <c r="L240" s="99"/>
      <c r="M240" s="99"/>
      <c r="N240" s="99"/>
      <c r="O240" s="99"/>
    </row>
    <row r="241" spans="2:15">
      <c r="B241" s="173"/>
      <c r="C241" s="174" t="str">
        <f>IFERROR(VLOOKUP(D241,Tabela2[[Descrição]:[ID. Risco]],2,FALSE),"")</f>
        <v/>
      </c>
      <c r="D241" s="174"/>
      <c r="E241" s="174"/>
      <c r="F241" s="178"/>
      <c r="G241" s="174"/>
      <c r="H241" s="174"/>
      <c r="I241" s="174"/>
      <c r="J241" s="174"/>
      <c r="K241" s="177"/>
      <c r="L241" s="99"/>
      <c r="M241" s="99"/>
      <c r="N241" s="99"/>
      <c r="O241" s="99"/>
    </row>
    <row r="242" spans="2:15">
      <c r="B242" s="173"/>
      <c r="C242" s="174" t="str">
        <f>IFERROR(VLOOKUP(D242,Tabela2[[Descrição]:[ID. Risco]],2,FALSE),"")</f>
        <v/>
      </c>
      <c r="D242" s="174"/>
      <c r="E242" s="174"/>
      <c r="F242" s="178"/>
      <c r="G242" s="174"/>
      <c r="H242" s="174"/>
      <c r="I242" s="174"/>
      <c r="J242" s="174"/>
      <c r="K242" s="177"/>
      <c r="L242" s="99"/>
      <c r="M242" s="99"/>
      <c r="N242" s="99"/>
      <c r="O242" s="99"/>
    </row>
    <row r="243" spans="2:15">
      <c r="B243" s="173"/>
      <c r="C243" s="174" t="str">
        <f>IFERROR(VLOOKUP(D243,Tabela2[[Descrição]:[ID. Risco]],2,FALSE),"")</f>
        <v/>
      </c>
      <c r="D243" s="174"/>
      <c r="E243" s="174"/>
      <c r="F243" s="178"/>
      <c r="G243" s="174"/>
      <c r="H243" s="174"/>
      <c r="I243" s="174"/>
      <c r="J243" s="174"/>
      <c r="K243" s="177"/>
      <c r="L243" s="99"/>
      <c r="M243" s="99"/>
      <c r="N243" s="99"/>
      <c r="O243" s="99"/>
    </row>
    <row r="244" spans="2:15">
      <c r="B244" s="173"/>
      <c r="C244" s="174" t="str">
        <f>IFERROR(VLOOKUP(D244,Tabela2[[Descrição]:[ID. Risco]],2,FALSE),"")</f>
        <v/>
      </c>
      <c r="D244" s="174"/>
      <c r="E244" s="174"/>
      <c r="F244" s="178"/>
      <c r="G244" s="174"/>
      <c r="H244" s="174"/>
      <c r="I244" s="174"/>
      <c r="J244" s="174"/>
      <c r="K244" s="177"/>
      <c r="L244" s="99"/>
      <c r="M244" s="99"/>
      <c r="N244" s="99"/>
      <c r="O244" s="99"/>
    </row>
    <row r="245" spans="2:15">
      <c r="B245" s="173"/>
      <c r="C245" s="174" t="str">
        <f>IFERROR(VLOOKUP(D245,Tabela2[[Descrição]:[ID. Risco]],2,FALSE),"")</f>
        <v/>
      </c>
      <c r="D245" s="174"/>
      <c r="E245" s="174"/>
      <c r="F245" s="178"/>
      <c r="G245" s="174"/>
      <c r="H245" s="174"/>
      <c r="I245" s="174"/>
      <c r="J245" s="174"/>
      <c r="K245" s="177"/>
      <c r="L245" s="99"/>
      <c r="M245" s="99"/>
      <c r="N245" s="99"/>
      <c r="O245" s="99"/>
    </row>
    <row r="246" spans="2:15">
      <c r="B246" s="173"/>
      <c r="C246" s="174" t="str">
        <f>IFERROR(VLOOKUP(D246,Tabela2[[Descrição]:[ID. Risco]],2,FALSE),"")</f>
        <v/>
      </c>
      <c r="D246" s="174"/>
      <c r="E246" s="174"/>
      <c r="F246" s="178"/>
      <c r="G246" s="174"/>
      <c r="H246" s="174"/>
      <c r="I246" s="174"/>
      <c r="J246" s="174"/>
      <c r="K246" s="177"/>
      <c r="L246" s="99"/>
      <c r="M246" s="99"/>
      <c r="N246" s="99"/>
      <c r="O246" s="99"/>
    </row>
    <row r="247" spans="2:15">
      <c r="B247" s="173"/>
      <c r="C247" s="174" t="str">
        <f>IFERROR(VLOOKUP(D247,Tabela2[[Descrição]:[ID. Risco]],2,FALSE),"")</f>
        <v/>
      </c>
      <c r="D247" s="174"/>
      <c r="E247" s="174"/>
      <c r="F247" s="178"/>
      <c r="G247" s="174"/>
      <c r="H247" s="174"/>
      <c r="I247" s="174"/>
      <c r="J247" s="174"/>
      <c r="K247" s="177"/>
      <c r="L247" s="99"/>
      <c r="M247" s="99"/>
      <c r="N247" s="99"/>
      <c r="O247" s="99"/>
    </row>
    <row r="248" spans="2:15">
      <c r="B248" s="173"/>
      <c r="C248" s="174" t="str">
        <f>IFERROR(VLOOKUP(D248,Tabela2[[Descrição]:[ID. Risco]],2,FALSE),"")</f>
        <v/>
      </c>
      <c r="D248" s="174"/>
      <c r="E248" s="174"/>
      <c r="F248" s="178"/>
      <c r="G248" s="174"/>
      <c r="H248" s="174"/>
      <c r="I248" s="174"/>
      <c r="J248" s="174"/>
      <c r="K248" s="177"/>
      <c r="L248" s="99"/>
      <c r="M248" s="99"/>
      <c r="N248" s="99"/>
      <c r="O248" s="99"/>
    </row>
    <row r="249" spans="2:15">
      <c r="B249" s="173"/>
      <c r="C249" s="174" t="str">
        <f>IFERROR(VLOOKUP(D249,Tabela2[[Descrição]:[ID. Risco]],2,FALSE),"")</f>
        <v/>
      </c>
      <c r="D249" s="174"/>
      <c r="E249" s="174"/>
      <c r="F249" s="178"/>
      <c r="G249" s="174"/>
      <c r="H249" s="174"/>
      <c r="I249" s="174"/>
      <c r="J249" s="174"/>
      <c r="K249" s="177"/>
      <c r="L249" s="99"/>
      <c r="M249" s="99"/>
      <c r="N249" s="99"/>
      <c r="O249" s="99"/>
    </row>
    <row r="250" spans="2:15">
      <c r="B250" s="173"/>
      <c r="C250" s="174" t="str">
        <f>IFERROR(VLOOKUP(D250,Tabela2[[Descrição]:[ID. Risco]],2,FALSE),"")</f>
        <v/>
      </c>
      <c r="D250" s="174"/>
      <c r="E250" s="174"/>
      <c r="F250" s="178"/>
      <c r="G250" s="174"/>
      <c r="H250" s="174"/>
      <c r="I250" s="174"/>
      <c r="J250" s="174"/>
      <c r="K250" s="177"/>
      <c r="L250" s="99"/>
      <c r="M250" s="99"/>
      <c r="N250" s="99"/>
      <c r="O250" s="99"/>
    </row>
    <row r="251" spans="2:15">
      <c r="B251" s="173"/>
      <c r="C251" s="174" t="str">
        <f>IFERROR(VLOOKUP(D251,Tabela2[[Descrição]:[ID. Risco]],2,FALSE),"")</f>
        <v/>
      </c>
      <c r="D251" s="174"/>
      <c r="E251" s="174"/>
      <c r="F251" s="178"/>
      <c r="G251" s="174"/>
      <c r="H251" s="174"/>
      <c r="I251" s="174"/>
      <c r="J251" s="174"/>
      <c r="K251" s="177"/>
      <c r="L251" s="99"/>
      <c r="M251" s="99"/>
      <c r="N251" s="99"/>
      <c r="O251" s="99"/>
    </row>
    <row r="252" spans="2:15">
      <c r="B252" s="173"/>
      <c r="C252" s="174" t="str">
        <f>IFERROR(VLOOKUP(D252,Tabela2[[Descrição]:[ID. Risco]],2,FALSE),"")</f>
        <v/>
      </c>
      <c r="D252" s="174"/>
      <c r="E252" s="174"/>
      <c r="F252" s="178"/>
      <c r="G252" s="174"/>
      <c r="H252" s="174"/>
      <c r="I252" s="174"/>
      <c r="J252" s="174"/>
      <c r="K252" s="177"/>
      <c r="L252" s="99"/>
      <c r="M252" s="99"/>
      <c r="N252" s="99"/>
      <c r="O252" s="99"/>
    </row>
    <row r="253" spans="2:15">
      <c r="B253" s="179"/>
      <c r="C253" s="180" t="str">
        <f>IFERROR(VLOOKUP(D253,Tabela2[[Descrição]:[ID. Risco]],2,FALSE),"")</f>
        <v/>
      </c>
      <c r="D253" s="180"/>
      <c r="E253" s="180"/>
      <c r="F253" s="181"/>
      <c r="G253" s="180"/>
      <c r="H253" s="180"/>
      <c r="I253" s="180"/>
      <c r="J253" s="180"/>
      <c r="K253" s="182"/>
      <c r="L253" s="99"/>
      <c r="M253" s="99"/>
      <c r="N253" s="99"/>
      <c r="O253" s="99"/>
    </row>
    <row r="254" spans="2:15">
      <c r="B254" s="167"/>
      <c r="C254" s="168" t="str">
        <f>IFERROR(VLOOKUP(D254,Tabela2[[Descrição]:[ID. Risco]],2,FALSE),"")</f>
        <v/>
      </c>
      <c r="D254" s="168"/>
      <c r="E254" s="169"/>
      <c r="F254" s="170"/>
      <c r="G254" s="171"/>
      <c r="H254" s="168"/>
      <c r="I254" s="168"/>
      <c r="J254" s="168"/>
      <c r="K254" s="172"/>
      <c r="L254" s="99"/>
      <c r="M254" s="99"/>
      <c r="N254" s="99"/>
      <c r="O254" s="99"/>
    </row>
    <row r="255" spans="2:15">
      <c r="B255" s="173"/>
      <c r="C255" s="174" t="str">
        <f>IFERROR(VLOOKUP(D255,Tabela2[[Descrição]:[ID. Risco]],2,FALSE),"")</f>
        <v/>
      </c>
      <c r="D255" s="174"/>
      <c r="E255" s="175"/>
      <c r="F255" s="176"/>
      <c r="G255" s="51"/>
      <c r="H255" s="174"/>
      <c r="I255" s="174"/>
      <c r="J255" s="174"/>
      <c r="K255" s="177"/>
      <c r="L255" s="99"/>
      <c r="M255" s="99"/>
      <c r="N255" s="99"/>
      <c r="O255" s="99"/>
    </row>
    <row r="256" spans="2:15">
      <c r="B256" s="173"/>
      <c r="C256" s="174" t="str">
        <f>IFERROR(VLOOKUP(D256,Tabela2[[Descrição]:[ID. Risco]],2,FALSE),"")</f>
        <v/>
      </c>
      <c r="D256" s="174"/>
      <c r="E256" s="175"/>
      <c r="F256" s="176"/>
      <c r="G256" s="51"/>
      <c r="H256" s="174"/>
      <c r="I256" s="174"/>
      <c r="J256" s="174"/>
      <c r="K256" s="177"/>
      <c r="L256" s="99"/>
      <c r="M256" s="99"/>
      <c r="N256" s="99"/>
      <c r="O256" s="99"/>
    </row>
    <row r="257" spans="2:15">
      <c r="B257" s="173"/>
      <c r="C257" s="174" t="str">
        <f>IFERROR(VLOOKUP(D257,Tabela2[[Descrição]:[ID. Risco]],2,FALSE),"")</f>
        <v/>
      </c>
      <c r="D257" s="174"/>
      <c r="E257" s="175"/>
      <c r="F257" s="176"/>
      <c r="G257" s="51"/>
      <c r="H257" s="174"/>
      <c r="I257" s="174"/>
      <c r="J257" s="174"/>
      <c r="K257" s="177"/>
      <c r="L257" s="99"/>
      <c r="M257" s="99"/>
      <c r="N257" s="99"/>
      <c r="O257" s="99"/>
    </row>
    <row r="258" spans="2:15">
      <c r="B258" s="173"/>
      <c r="C258" s="174" t="str">
        <f>IFERROR(VLOOKUP(D258,Tabela2[[Descrição]:[ID. Risco]],2,FALSE),"")</f>
        <v/>
      </c>
      <c r="D258" s="174"/>
      <c r="E258" s="175"/>
      <c r="F258" s="176"/>
      <c r="G258" s="51"/>
      <c r="H258" s="174"/>
      <c r="I258" s="174"/>
      <c r="J258" s="174"/>
      <c r="K258" s="177"/>
      <c r="L258" s="99"/>
      <c r="M258" s="99"/>
      <c r="N258" s="99"/>
      <c r="O258" s="99"/>
    </row>
    <row r="259" spans="2:15">
      <c r="B259" s="173"/>
      <c r="C259" s="174" t="str">
        <f>IFERROR(VLOOKUP(D259,Tabela2[[Descrição]:[ID. Risco]],2,FALSE),"")</f>
        <v/>
      </c>
      <c r="D259" s="174"/>
      <c r="E259" s="175"/>
      <c r="F259" s="176"/>
      <c r="G259" s="51"/>
      <c r="H259" s="174"/>
      <c r="I259" s="174"/>
      <c r="J259" s="174"/>
      <c r="K259" s="177"/>
      <c r="L259" s="99"/>
      <c r="M259" s="99"/>
      <c r="N259" s="99"/>
      <c r="O259" s="99"/>
    </row>
    <row r="260" spans="2:15">
      <c r="B260" s="173"/>
      <c r="C260" s="174" t="str">
        <f>IFERROR(VLOOKUP(D260,Tabela2[[Descrição]:[ID. Risco]],2,FALSE),"")</f>
        <v/>
      </c>
      <c r="D260" s="174"/>
      <c r="E260" s="175"/>
      <c r="F260" s="176"/>
      <c r="G260" s="51"/>
      <c r="H260" s="174"/>
      <c r="I260" s="174"/>
      <c r="J260" s="174"/>
      <c r="K260" s="177"/>
      <c r="L260" s="99"/>
      <c r="M260" s="99"/>
      <c r="N260" s="99"/>
      <c r="O260" s="99"/>
    </row>
    <row r="261" spans="2:15">
      <c r="B261" s="173"/>
      <c r="C261" s="174" t="str">
        <f>IFERROR(VLOOKUP(D261,Tabela2[[Descrição]:[ID. Risco]],2,FALSE),"")</f>
        <v/>
      </c>
      <c r="D261" s="174"/>
      <c r="E261" s="175"/>
      <c r="F261" s="176"/>
      <c r="G261" s="51"/>
      <c r="H261" s="174"/>
      <c r="I261" s="174"/>
      <c r="J261" s="174"/>
      <c r="K261" s="177"/>
      <c r="L261" s="99"/>
      <c r="M261" s="99"/>
      <c r="N261" s="99"/>
      <c r="O261" s="99"/>
    </row>
    <row r="262" spans="2:15">
      <c r="B262" s="173"/>
      <c r="C262" s="174" t="str">
        <f>IFERROR(VLOOKUP(D262,Tabela2[[Descrição]:[ID. Risco]],2,FALSE),"")</f>
        <v/>
      </c>
      <c r="D262" s="174"/>
      <c r="E262" s="175"/>
      <c r="F262" s="176"/>
      <c r="G262" s="51"/>
      <c r="H262" s="174"/>
      <c r="I262" s="174"/>
      <c r="J262" s="174"/>
      <c r="K262" s="177"/>
      <c r="L262" s="99"/>
      <c r="M262" s="99"/>
      <c r="N262" s="99"/>
      <c r="O262" s="99"/>
    </row>
    <row r="263" spans="2:15">
      <c r="B263" s="173"/>
      <c r="C263" s="174" t="str">
        <f>IFERROR(VLOOKUP(D263,Tabela2[[Descrição]:[ID. Risco]],2,FALSE),"")</f>
        <v/>
      </c>
      <c r="D263" s="174"/>
      <c r="E263" s="175"/>
      <c r="F263" s="176"/>
      <c r="G263" s="51"/>
      <c r="H263" s="174"/>
      <c r="I263" s="174"/>
      <c r="J263" s="174"/>
      <c r="K263" s="177"/>
      <c r="L263" s="99"/>
      <c r="M263" s="99"/>
      <c r="N263" s="99"/>
      <c r="O263" s="99"/>
    </row>
    <row r="264" spans="2:15">
      <c r="B264" s="173"/>
      <c r="C264" s="174" t="str">
        <f>IFERROR(VLOOKUP(D264,Tabela2[[Descrição]:[ID. Risco]],2,FALSE),"")</f>
        <v/>
      </c>
      <c r="D264" s="174"/>
      <c r="E264" s="175"/>
      <c r="F264" s="176"/>
      <c r="G264" s="51"/>
      <c r="H264" s="174"/>
      <c r="I264" s="174"/>
      <c r="J264" s="174"/>
      <c r="K264" s="177"/>
      <c r="L264" s="99"/>
      <c r="M264" s="99"/>
      <c r="N264" s="99"/>
      <c r="O264" s="99"/>
    </row>
    <row r="265" spans="2:15">
      <c r="B265" s="173"/>
      <c r="C265" s="174" t="str">
        <f>IFERROR(VLOOKUP(D265,Tabela2[[Descrição]:[ID. Risco]],2,FALSE),"")</f>
        <v/>
      </c>
      <c r="D265" s="174"/>
      <c r="E265" s="175"/>
      <c r="F265" s="176"/>
      <c r="G265" s="51"/>
      <c r="H265" s="174"/>
      <c r="I265" s="174"/>
      <c r="J265" s="174"/>
      <c r="K265" s="177"/>
      <c r="L265" s="99"/>
      <c r="M265" s="99"/>
      <c r="N265" s="99"/>
      <c r="O265" s="99"/>
    </row>
    <row r="266" spans="2:15">
      <c r="B266" s="173"/>
      <c r="C266" s="174" t="str">
        <f>IFERROR(VLOOKUP(D266,Tabela2[[Descrição]:[ID. Risco]],2,FALSE),"")</f>
        <v/>
      </c>
      <c r="D266" s="174"/>
      <c r="E266" s="174"/>
      <c r="F266" s="178"/>
      <c r="G266" s="174"/>
      <c r="H266" s="174"/>
      <c r="I266" s="174"/>
      <c r="J266" s="174"/>
      <c r="K266" s="177"/>
      <c r="L266" s="99"/>
      <c r="M266" s="99"/>
      <c r="N266" s="99"/>
      <c r="O266" s="99"/>
    </row>
    <row r="267" spans="2:15">
      <c r="B267" s="173"/>
      <c r="C267" s="174" t="str">
        <f>IFERROR(VLOOKUP(D267,Tabela2[[Descrição]:[ID. Risco]],2,FALSE),"")</f>
        <v/>
      </c>
      <c r="D267" s="174"/>
      <c r="E267" s="174"/>
      <c r="F267" s="178"/>
      <c r="G267" s="174"/>
      <c r="H267" s="174"/>
      <c r="I267" s="174"/>
      <c r="J267" s="174"/>
      <c r="K267" s="177"/>
      <c r="L267" s="99"/>
      <c r="M267" s="99"/>
      <c r="N267" s="99"/>
      <c r="O267" s="99"/>
    </row>
    <row r="268" spans="2:15">
      <c r="B268" s="173"/>
      <c r="C268" s="174" t="str">
        <f>IFERROR(VLOOKUP(D268,Tabela2[[Descrição]:[ID. Risco]],2,FALSE),"")</f>
        <v/>
      </c>
      <c r="D268" s="174"/>
      <c r="E268" s="174"/>
      <c r="F268" s="178"/>
      <c r="G268" s="174"/>
      <c r="H268" s="174"/>
      <c r="I268" s="174"/>
      <c r="J268" s="174"/>
      <c r="K268" s="177"/>
      <c r="L268" s="99"/>
      <c r="M268" s="99"/>
      <c r="N268" s="99"/>
      <c r="O268" s="99"/>
    </row>
    <row r="269" spans="2:15">
      <c r="B269" s="173"/>
      <c r="C269" s="174" t="str">
        <f>IFERROR(VLOOKUP(D269,Tabela2[[Descrição]:[ID. Risco]],2,FALSE),"")</f>
        <v/>
      </c>
      <c r="D269" s="174"/>
      <c r="E269" s="174"/>
      <c r="F269" s="178"/>
      <c r="G269" s="174"/>
      <c r="H269" s="174"/>
      <c r="I269" s="174"/>
      <c r="J269" s="174"/>
      <c r="K269" s="177"/>
      <c r="L269" s="99"/>
      <c r="M269" s="99"/>
      <c r="N269" s="99"/>
      <c r="O269" s="99"/>
    </row>
    <row r="270" spans="2:15">
      <c r="B270" s="173"/>
      <c r="C270" s="174" t="str">
        <f>IFERROR(VLOOKUP(D270,Tabela2[[Descrição]:[ID. Risco]],2,FALSE),"")</f>
        <v/>
      </c>
      <c r="D270" s="174"/>
      <c r="E270" s="174"/>
      <c r="F270" s="178"/>
      <c r="G270" s="174"/>
      <c r="H270" s="174"/>
      <c r="I270" s="174"/>
      <c r="J270" s="174"/>
      <c r="K270" s="177"/>
      <c r="L270" s="99"/>
      <c r="M270" s="99"/>
      <c r="N270" s="99"/>
      <c r="O270" s="99"/>
    </row>
    <row r="271" spans="2:15">
      <c r="B271" s="173"/>
      <c r="C271" s="174" t="str">
        <f>IFERROR(VLOOKUP(D271,Tabela2[[Descrição]:[ID. Risco]],2,FALSE),"")</f>
        <v/>
      </c>
      <c r="D271" s="174"/>
      <c r="E271" s="174"/>
      <c r="F271" s="178"/>
      <c r="G271" s="174"/>
      <c r="H271" s="174"/>
      <c r="I271" s="174"/>
      <c r="J271" s="174"/>
      <c r="K271" s="177"/>
      <c r="L271" s="99"/>
      <c r="M271" s="99"/>
      <c r="N271" s="99"/>
      <c r="O271" s="99"/>
    </row>
    <row r="272" spans="2:15">
      <c r="B272" s="173"/>
      <c r="C272" s="174" t="str">
        <f>IFERROR(VLOOKUP(D272,Tabela2[[Descrição]:[ID. Risco]],2,FALSE),"")</f>
        <v/>
      </c>
      <c r="D272" s="174"/>
      <c r="E272" s="174"/>
      <c r="F272" s="178"/>
      <c r="G272" s="174"/>
      <c r="H272" s="174"/>
      <c r="I272" s="174"/>
      <c r="J272" s="174"/>
      <c r="K272" s="177"/>
      <c r="L272" s="99"/>
      <c r="M272" s="99"/>
      <c r="N272" s="99"/>
      <c r="O272" s="99"/>
    </row>
    <row r="273" spans="2:15">
      <c r="B273" s="173"/>
      <c r="C273" s="174" t="str">
        <f>IFERROR(VLOOKUP(D273,Tabela2[[Descrição]:[ID. Risco]],2,FALSE),"")</f>
        <v/>
      </c>
      <c r="D273" s="174"/>
      <c r="E273" s="174"/>
      <c r="F273" s="178"/>
      <c r="G273" s="174"/>
      <c r="H273" s="174"/>
      <c r="I273" s="174"/>
      <c r="J273" s="174"/>
      <c r="K273" s="177"/>
      <c r="L273" s="99"/>
      <c r="M273" s="99"/>
      <c r="N273" s="99"/>
      <c r="O273" s="99"/>
    </row>
    <row r="274" spans="2:15">
      <c r="B274" s="173"/>
      <c r="C274" s="174" t="str">
        <f>IFERROR(VLOOKUP(D274,Tabela2[[Descrição]:[ID. Risco]],2,FALSE),"")</f>
        <v/>
      </c>
      <c r="D274" s="174"/>
      <c r="E274" s="174"/>
      <c r="F274" s="178"/>
      <c r="G274" s="174"/>
      <c r="H274" s="174"/>
      <c r="I274" s="174"/>
      <c r="J274" s="174"/>
      <c r="K274" s="177"/>
      <c r="L274" s="99"/>
      <c r="M274" s="99"/>
      <c r="N274" s="99"/>
      <c r="O274" s="99"/>
    </row>
    <row r="275" spans="2:15">
      <c r="B275" s="173"/>
      <c r="C275" s="174" t="str">
        <f>IFERROR(VLOOKUP(D275,Tabela2[[Descrição]:[ID. Risco]],2,FALSE),"")</f>
        <v/>
      </c>
      <c r="D275" s="174"/>
      <c r="E275" s="174"/>
      <c r="F275" s="178"/>
      <c r="G275" s="174"/>
      <c r="H275" s="174"/>
      <c r="I275" s="174"/>
      <c r="J275" s="174"/>
      <c r="K275" s="177"/>
      <c r="L275" s="99"/>
      <c r="M275" s="99"/>
      <c r="N275" s="99"/>
      <c r="O275" s="99"/>
    </row>
    <row r="276" spans="2:15">
      <c r="B276" s="173"/>
      <c r="C276" s="174" t="str">
        <f>IFERROR(VLOOKUP(D276,Tabela2[[Descrição]:[ID. Risco]],2,FALSE),"")</f>
        <v/>
      </c>
      <c r="D276" s="174"/>
      <c r="E276" s="174"/>
      <c r="F276" s="178"/>
      <c r="G276" s="174"/>
      <c r="H276" s="174"/>
      <c r="I276" s="174"/>
      <c r="J276" s="174"/>
      <c r="K276" s="177"/>
      <c r="L276" s="99"/>
      <c r="M276" s="99"/>
      <c r="N276" s="99"/>
      <c r="O276" s="99"/>
    </row>
    <row r="277" spans="2:15">
      <c r="B277" s="173"/>
      <c r="C277" s="174" t="str">
        <f>IFERROR(VLOOKUP(D277,Tabela2[[Descrição]:[ID. Risco]],2,FALSE),"")</f>
        <v/>
      </c>
      <c r="D277" s="174"/>
      <c r="E277" s="174"/>
      <c r="F277" s="178"/>
      <c r="G277" s="174"/>
      <c r="H277" s="174"/>
      <c r="I277" s="174"/>
      <c r="J277" s="174"/>
      <c r="K277" s="177"/>
      <c r="L277" s="99"/>
      <c r="M277" s="99"/>
      <c r="N277" s="99"/>
      <c r="O277" s="99"/>
    </row>
    <row r="278" spans="2:15">
      <c r="B278" s="179"/>
      <c r="C278" s="180" t="str">
        <f>IFERROR(VLOOKUP(D278,Tabela2[[Descrição]:[ID. Risco]],2,FALSE),"")</f>
        <v/>
      </c>
      <c r="D278" s="180"/>
      <c r="E278" s="180"/>
      <c r="F278" s="181"/>
      <c r="G278" s="180"/>
      <c r="H278" s="180"/>
      <c r="I278" s="180"/>
      <c r="J278" s="180"/>
      <c r="K278" s="182"/>
      <c r="L278" s="99"/>
      <c r="M278" s="99"/>
      <c r="N278" s="99"/>
      <c r="O278" s="99"/>
    </row>
    <row r="279" spans="2:15">
      <c r="B279" s="167"/>
      <c r="C279" s="168" t="str">
        <f>IFERROR(VLOOKUP(D279,Tabela2[[Descrição]:[ID. Risco]],2,FALSE),"")</f>
        <v/>
      </c>
      <c r="D279" s="168"/>
      <c r="E279" s="169"/>
      <c r="F279" s="170"/>
      <c r="G279" s="171"/>
      <c r="H279" s="168"/>
      <c r="I279" s="168"/>
      <c r="J279" s="168"/>
      <c r="K279" s="172"/>
      <c r="L279" s="99"/>
      <c r="M279" s="99"/>
      <c r="N279" s="99"/>
      <c r="O279" s="99"/>
    </row>
    <row r="280" spans="2:15">
      <c r="B280" s="173"/>
      <c r="C280" s="174" t="str">
        <f>IFERROR(VLOOKUP(D280,Tabela2[[Descrição]:[ID. Risco]],2,FALSE),"")</f>
        <v/>
      </c>
      <c r="D280" s="174"/>
      <c r="E280" s="175"/>
      <c r="F280" s="176"/>
      <c r="G280" s="51"/>
      <c r="H280" s="174"/>
      <c r="I280" s="174"/>
      <c r="J280" s="174"/>
      <c r="K280" s="177"/>
      <c r="L280" s="99"/>
      <c r="M280" s="99"/>
      <c r="N280" s="99"/>
      <c r="O280" s="99"/>
    </row>
    <row r="281" spans="2:15">
      <c r="B281" s="173"/>
      <c r="C281" s="174" t="str">
        <f>IFERROR(VLOOKUP(D281,Tabela2[[Descrição]:[ID. Risco]],2,FALSE),"")</f>
        <v/>
      </c>
      <c r="D281" s="174"/>
      <c r="E281" s="175"/>
      <c r="F281" s="176"/>
      <c r="G281" s="51"/>
      <c r="H281" s="174"/>
      <c r="I281" s="174"/>
      <c r="J281" s="174"/>
      <c r="K281" s="177"/>
      <c r="L281" s="99"/>
      <c r="M281" s="99"/>
      <c r="N281" s="99"/>
      <c r="O281" s="99"/>
    </row>
    <row r="282" spans="2:15">
      <c r="B282" s="173"/>
      <c r="C282" s="174" t="str">
        <f>IFERROR(VLOOKUP(D282,Tabela2[[Descrição]:[ID. Risco]],2,FALSE),"")</f>
        <v/>
      </c>
      <c r="D282" s="174"/>
      <c r="E282" s="175"/>
      <c r="F282" s="176"/>
      <c r="G282" s="51"/>
      <c r="H282" s="174"/>
      <c r="I282" s="174"/>
      <c r="J282" s="174"/>
      <c r="K282" s="177"/>
      <c r="L282" s="99"/>
      <c r="M282" s="99"/>
      <c r="N282" s="99"/>
      <c r="O282" s="99"/>
    </row>
    <row r="283" spans="2:15">
      <c r="B283" s="173"/>
      <c r="C283" s="174" t="str">
        <f>IFERROR(VLOOKUP(D283,Tabela2[[Descrição]:[ID. Risco]],2,FALSE),"")</f>
        <v/>
      </c>
      <c r="D283" s="174"/>
      <c r="E283" s="175"/>
      <c r="F283" s="176"/>
      <c r="G283" s="51"/>
      <c r="H283" s="174"/>
      <c r="I283" s="174"/>
      <c r="J283" s="174"/>
      <c r="K283" s="177"/>
      <c r="L283" s="99"/>
      <c r="M283" s="99"/>
      <c r="N283" s="99"/>
      <c r="O283" s="99"/>
    </row>
    <row r="284" spans="2:15">
      <c r="B284" s="173"/>
      <c r="C284" s="174" t="str">
        <f>IFERROR(VLOOKUP(D284,Tabela2[[Descrição]:[ID. Risco]],2,FALSE),"")</f>
        <v/>
      </c>
      <c r="D284" s="174"/>
      <c r="E284" s="175"/>
      <c r="F284" s="176"/>
      <c r="G284" s="51"/>
      <c r="H284" s="174"/>
      <c r="I284" s="174"/>
      <c r="J284" s="174"/>
      <c r="K284" s="177"/>
      <c r="L284" s="99"/>
      <c r="M284" s="99"/>
      <c r="N284" s="99"/>
      <c r="O284" s="99"/>
    </row>
    <row r="285" spans="2:15">
      <c r="B285" s="173"/>
      <c r="C285" s="174" t="str">
        <f>IFERROR(VLOOKUP(D285,Tabela2[[Descrição]:[ID. Risco]],2,FALSE),"")</f>
        <v/>
      </c>
      <c r="D285" s="174"/>
      <c r="E285" s="175"/>
      <c r="F285" s="176"/>
      <c r="G285" s="51"/>
      <c r="H285" s="174"/>
      <c r="I285" s="174"/>
      <c r="J285" s="174"/>
      <c r="K285" s="177"/>
      <c r="L285" s="99"/>
      <c r="M285" s="99"/>
      <c r="N285" s="99"/>
      <c r="O285" s="99"/>
    </row>
    <row r="286" spans="2:15">
      <c r="B286" s="173"/>
      <c r="C286" s="174" t="str">
        <f>IFERROR(VLOOKUP(D286,Tabela2[[Descrição]:[ID. Risco]],2,FALSE),"")</f>
        <v/>
      </c>
      <c r="D286" s="174"/>
      <c r="E286" s="175"/>
      <c r="F286" s="176"/>
      <c r="G286" s="51"/>
      <c r="H286" s="174"/>
      <c r="I286" s="174"/>
      <c r="J286" s="174"/>
      <c r="K286" s="177"/>
      <c r="L286" s="99"/>
      <c r="M286" s="99"/>
      <c r="N286" s="99"/>
      <c r="O286" s="99"/>
    </row>
    <row r="287" spans="2:15">
      <c r="B287" s="173"/>
      <c r="C287" s="174" t="str">
        <f>IFERROR(VLOOKUP(D287,Tabela2[[Descrição]:[ID. Risco]],2,FALSE),"")</f>
        <v/>
      </c>
      <c r="D287" s="174"/>
      <c r="E287" s="175"/>
      <c r="F287" s="176"/>
      <c r="G287" s="51"/>
      <c r="H287" s="174"/>
      <c r="I287" s="174"/>
      <c r="J287" s="174"/>
      <c r="K287" s="177"/>
      <c r="L287" s="99"/>
      <c r="M287" s="99"/>
      <c r="N287" s="99"/>
      <c r="O287" s="99"/>
    </row>
    <row r="288" spans="2:15">
      <c r="B288" s="173"/>
      <c r="C288" s="174" t="str">
        <f>IFERROR(VLOOKUP(D288,Tabela2[[Descrição]:[ID. Risco]],2,FALSE),"")</f>
        <v/>
      </c>
      <c r="D288" s="174"/>
      <c r="E288" s="175"/>
      <c r="F288" s="176"/>
      <c r="G288" s="51"/>
      <c r="H288" s="174"/>
      <c r="I288" s="174"/>
      <c r="J288" s="174"/>
      <c r="K288" s="177"/>
      <c r="L288" s="99"/>
      <c r="M288" s="99"/>
      <c r="N288" s="99"/>
      <c r="O288" s="99"/>
    </row>
    <row r="289" spans="2:15">
      <c r="B289" s="173"/>
      <c r="C289" s="174" t="str">
        <f>IFERROR(VLOOKUP(D289,Tabela2[[Descrição]:[ID. Risco]],2,FALSE),"")</f>
        <v/>
      </c>
      <c r="D289" s="174"/>
      <c r="E289" s="175"/>
      <c r="F289" s="176"/>
      <c r="G289" s="51"/>
      <c r="H289" s="174"/>
      <c r="I289" s="174"/>
      <c r="J289" s="174"/>
      <c r="K289" s="177"/>
      <c r="L289" s="99"/>
      <c r="M289" s="99"/>
      <c r="N289" s="99"/>
      <c r="O289" s="99"/>
    </row>
    <row r="290" spans="2:15">
      <c r="B290" s="173"/>
      <c r="C290" s="174" t="str">
        <f>IFERROR(VLOOKUP(D290,Tabela2[[Descrição]:[ID. Risco]],2,FALSE),"")</f>
        <v/>
      </c>
      <c r="D290" s="174"/>
      <c r="E290" s="175"/>
      <c r="F290" s="176"/>
      <c r="G290" s="51"/>
      <c r="H290" s="174"/>
      <c r="I290" s="174"/>
      <c r="J290" s="174"/>
      <c r="K290" s="177"/>
      <c r="L290" s="99"/>
      <c r="M290" s="99"/>
      <c r="N290" s="99"/>
      <c r="O290" s="99"/>
    </row>
    <row r="291" spans="2:15">
      <c r="B291" s="173"/>
      <c r="C291" s="174" t="str">
        <f>IFERROR(VLOOKUP(D291,Tabela2[[Descrição]:[ID. Risco]],2,FALSE),"")</f>
        <v/>
      </c>
      <c r="D291" s="174"/>
      <c r="E291" s="174"/>
      <c r="F291" s="178"/>
      <c r="G291" s="174"/>
      <c r="H291" s="174"/>
      <c r="I291" s="174"/>
      <c r="J291" s="174"/>
      <c r="K291" s="177"/>
      <c r="L291" s="99"/>
      <c r="M291" s="99"/>
      <c r="N291" s="99"/>
      <c r="O291" s="99"/>
    </row>
    <row r="292" spans="2:15">
      <c r="B292" s="173"/>
      <c r="C292" s="174" t="str">
        <f>IFERROR(VLOOKUP(D292,Tabela2[[Descrição]:[ID. Risco]],2,FALSE),"")</f>
        <v/>
      </c>
      <c r="D292" s="174"/>
      <c r="E292" s="174"/>
      <c r="F292" s="178"/>
      <c r="G292" s="174"/>
      <c r="H292" s="174"/>
      <c r="I292" s="174"/>
      <c r="J292" s="174"/>
      <c r="K292" s="177"/>
      <c r="L292" s="99"/>
      <c r="M292" s="99"/>
      <c r="N292" s="99"/>
      <c r="O292" s="99"/>
    </row>
    <row r="293" spans="2:15">
      <c r="B293" s="173"/>
      <c r="C293" s="174" t="str">
        <f>IFERROR(VLOOKUP(D293,Tabela2[[Descrição]:[ID. Risco]],2,FALSE),"")</f>
        <v/>
      </c>
      <c r="D293" s="174"/>
      <c r="E293" s="174"/>
      <c r="F293" s="178"/>
      <c r="G293" s="174"/>
      <c r="H293" s="174"/>
      <c r="I293" s="174"/>
      <c r="J293" s="174"/>
      <c r="K293" s="177"/>
      <c r="L293" s="99"/>
      <c r="M293" s="99"/>
      <c r="N293" s="99"/>
      <c r="O293" s="99"/>
    </row>
    <row r="294" spans="2:15">
      <c r="B294" s="173"/>
      <c r="C294" s="174" t="str">
        <f>IFERROR(VLOOKUP(D294,Tabela2[[Descrição]:[ID. Risco]],2,FALSE),"")</f>
        <v/>
      </c>
      <c r="D294" s="174"/>
      <c r="E294" s="174"/>
      <c r="F294" s="178"/>
      <c r="G294" s="174"/>
      <c r="H294" s="174"/>
      <c r="I294" s="174"/>
      <c r="J294" s="174"/>
      <c r="K294" s="177"/>
      <c r="L294" s="99"/>
      <c r="M294" s="99"/>
      <c r="N294" s="99"/>
      <c r="O294" s="99"/>
    </row>
    <row r="295" spans="2:15">
      <c r="B295" s="173"/>
      <c r="C295" s="174" t="str">
        <f>IFERROR(VLOOKUP(D295,Tabela2[[Descrição]:[ID. Risco]],2,FALSE),"")</f>
        <v/>
      </c>
      <c r="D295" s="174"/>
      <c r="E295" s="174"/>
      <c r="F295" s="178"/>
      <c r="G295" s="174"/>
      <c r="H295" s="174"/>
      <c r="I295" s="174"/>
      <c r="J295" s="174"/>
      <c r="K295" s="177"/>
      <c r="L295" s="99"/>
      <c r="M295" s="99"/>
      <c r="N295" s="99"/>
      <c r="O295" s="99"/>
    </row>
    <row r="296" spans="2:15">
      <c r="B296" s="173"/>
      <c r="C296" s="174" t="str">
        <f>IFERROR(VLOOKUP(D296,Tabela2[[Descrição]:[ID. Risco]],2,FALSE),"")</f>
        <v/>
      </c>
      <c r="D296" s="174"/>
      <c r="E296" s="174"/>
      <c r="F296" s="178"/>
      <c r="G296" s="174"/>
      <c r="H296" s="174"/>
      <c r="I296" s="174"/>
      <c r="J296" s="174"/>
      <c r="K296" s="177"/>
      <c r="L296" s="99"/>
      <c r="M296" s="99"/>
      <c r="N296" s="99"/>
      <c r="O296" s="99"/>
    </row>
    <row r="297" spans="2:15">
      <c r="B297" s="173"/>
      <c r="C297" s="174" t="str">
        <f>IFERROR(VLOOKUP(D297,Tabela2[[Descrição]:[ID. Risco]],2,FALSE),"")</f>
        <v/>
      </c>
      <c r="D297" s="174"/>
      <c r="E297" s="174"/>
      <c r="F297" s="178"/>
      <c r="G297" s="174"/>
      <c r="H297" s="174"/>
      <c r="I297" s="174"/>
      <c r="J297" s="174"/>
      <c r="K297" s="177"/>
      <c r="L297" s="99"/>
      <c r="M297" s="99"/>
      <c r="N297" s="99"/>
      <c r="O297" s="99"/>
    </row>
    <row r="298" spans="2:15">
      <c r="B298" s="173"/>
      <c r="C298" s="174" t="str">
        <f>IFERROR(VLOOKUP(D298,Tabela2[[Descrição]:[ID. Risco]],2,FALSE),"")</f>
        <v/>
      </c>
      <c r="D298" s="174"/>
      <c r="E298" s="174"/>
      <c r="F298" s="178"/>
      <c r="G298" s="174"/>
      <c r="H298" s="174"/>
      <c r="I298" s="174"/>
      <c r="J298" s="174"/>
      <c r="K298" s="177"/>
      <c r="L298" s="99"/>
      <c r="M298" s="99"/>
      <c r="N298" s="99"/>
      <c r="O298" s="99"/>
    </row>
    <row r="299" spans="2:15">
      <c r="B299" s="173"/>
      <c r="C299" s="174" t="str">
        <f>IFERROR(VLOOKUP(D299,Tabela2[[Descrição]:[ID. Risco]],2,FALSE),"")</f>
        <v/>
      </c>
      <c r="D299" s="174"/>
      <c r="E299" s="174"/>
      <c r="F299" s="178"/>
      <c r="G299" s="174"/>
      <c r="H299" s="174"/>
      <c r="I299" s="174"/>
      <c r="J299" s="174"/>
      <c r="K299" s="177"/>
      <c r="L299" s="99"/>
      <c r="M299" s="99"/>
      <c r="N299" s="99"/>
      <c r="O299" s="99"/>
    </row>
    <row r="300" spans="2:15">
      <c r="B300" s="173"/>
      <c r="C300" s="174" t="str">
        <f>IFERROR(VLOOKUP(D300,Tabela2[[Descrição]:[ID. Risco]],2,FALSE),"")</f>
        <v/>
      </c>
      <c r="D300" s="174"/>
      <c r="E300" s="174"/>
      <c r="F300" s="178"/>
      <c r="G300" s="174"/>
      <c r="H300" s="174"/>
      <c r="I300" s="174"/>
      <c r="J300" s="174"/>
      <c r="K300" s="177"/>
      <c r="L300" s="99"/>
      <c r="M300" s="99"/>
      <c r="N300" s="99"/>
      <c r="O300" s="99"/>
    </row>
    <row r="301" spans="2:15">
      <c r="B301" s="173"/>
      <c r="C301" s="174" t="str">
        <f>IFERROR(VLOOKUP(D301,Tabela2[[Descrição]:[ID. Risco]],2,FALSE),"")</f>
        <v/>
      </c>
      <c r="D301" s="174"/>
      <c r="E301" s="174"/>
      <c r="F301" s="178"/>
      <c r="G301" s="174"/>
      <c r="H301" s="174"/>
      <c r="I301" s="174"/>
      <c r="J301" s="174"/>
      <c r="K301" s="177"/>
      <c r="L301" s="99"/>
      <c r="M301" s="99"/>
      <c r="N301" s="99"/>
      <c r="O301" s="99"/>
    </row>
    <row r="302" spans="2:15">
      <c r="B302" s="173"/>
      <c r="C302" s="174" t="str">
        <f>IFERROR(VLOOKUP(D302,Tabela2[[Descrição]:[ID. Risco]],2,FALSE),"")</f>
        <v/>
      </c>
      <c r="D302" s="174"/>
      <c r="E302" s="174"/>
      <c r="F302" s="178"/>
      <c r="G302" s="174"/>
      <c r="H302" s="174"/>
      <c r="I302" s="174"/>
      <c r="J302" s="174"/>
      <c r="K302" s="177"/>
      <c r="L302" s="99"/>
      <c r="M302" s="99"/>
      <c r="N302" s="99"/>
      <c r="O302" s="99"/>
    </row>
    <row r="303" spans="2:15">
      <c r="B303" s="179"/>
      <c r="C303" s="180" t="str">
        <f>IFERROR(VLOOKUP(D303,Tabela2[[Descrição]:[ID. Risco]],2,FALSE),"")</f>
        <v/>
      </c>
      <c r="D303" s="180"/>
      <c r="E303" s="180"/>
      <c r="F303" s="181"/>
      <c r="G303" s="180"/>
      <c r="H303" s="180"/>
      <c r="I303" s="180"/>
      <c r="J303" s="180"/>
      <c r="K303" s="182"/>
      <c r="L303" s="99"/>
      <c r="M303" s="99"/>
      <c r="N303" s="99"/>
      <c r="O303" s="99"/>
    </row>
    <row r="304" spans="2:15">
      <c r="B304" s="167"/>
      <c r="C304" s="168" t="str">
        <f>IFERROR(VLOOKUP(D304,Tabela2[[Descrição]:[ID. Risco]],2,FALSE),"")</f>
        <v/>
      </c>
      <c r="D304" s="168"/>
      <c r="E304" s="169"/>
      <c r="F304" s="170"/>
      <c r="G304" s="171"/>
      <c r="H304" s="168"/>
      <c r="I304" s="168"/>
      <c r="J304" s="168"/>
      <c r="K304" s="172"/>
      <c r="L304" s="99"/>
      <c r="M304" s="99"/>
      <c r="N304" s="99"/>
      <c r="O304" s="99"/>
    </row>
    <row r="305" spans="2:15">
      <c r="B305" s="173"/>
      <c r="C305" s="174" t="str">
        <f>IFERROR(VLOOKUP(D305,Tabela2[[Descrição]:[ID. Risco]],2,FALSE),"")</f>
        <v/>
      </c>
      <c r="D305" s="174"/>
      <c r="E305" s="175"/>
      <c r="F305" s="176"/>
      <c r="G305" s="51"/>
      <c r="H305" s="174"/>
      <c r="I305" s="174"/>
      <c r="J305" s="174"/>
      <c r="K305" s="177"/>
      <c r="L305" s="99"/>
      <c r="M305" s="99"/>
      <c r="N305" s="99"/>
      <c r="O305" s="99"/>
    </row>
    <row r="306" spans="2:15">
      <c r="B306" s="173"/>
      <c r="C306" s="174" t="str">
        <f>IFERROR(VLOOKUP(D306,Tabela2[[Descrição]:[ID. Risco]],2,FALSE),"")</f>
        <v/>
      </c>
      <c r="D306" s="174"/>
      <c r="E306" s="175"/>
      <c r="F306" s="176"/>
      <c r="G306" s="51"/>
      <c r="H306" s="174"/>
      <c r="I306" s="174"/>
      <c r="J306" s="174"/>
      <c r="K306" s="177"/>
      <c r="L306" s="99"/>
      <c r="M306" s="99"/>
      <c r="N306" s="99"/>
      <c r="O306" s="99"/>
    </row>
    <row r="307" spans="2:15">
      <c r="B307" s="173"/>
      <c r="C307" s="174" t="str">
        <f>IFERROR(VLOOKUP(D307,Tabela2[[Descrição]:[ID. Risco]],2,FALSE),"")</f>
        <v/>
      </c>
      <c r="D307" s="174"/>
      <c r="E307" s="175"/>
      <c r="F307" s="176"/>
      <c r="G307" s="51"/>
      <c r="H307" s="174"/>
      <c r="I307" s="174"/>
      <c r="J307" s="174"/>
      <c r="K307" s="177"/>
      <c r="L307" s="99"/>
      <c r="M307" s="99"/>
      <c r="N307" s="99"/>
      <c r="O307" s="99"/>
    </row>
    <row r="308" spans="2:15">
      <c r="B308" s="173"/>
      <c r="C308" s="174" t="str">
        <f>IFERROR(VLOOKUP(D308,Tabela2[[Descrição]:[ID. Risco]],2,FALSE),"")</f>
        <v/>
      </c>
      <c r="D308" s="174"/>
      <c r="E308" s="175"/>
      <c r="F308" s="176"/>
      <c r="G308" s="51"/>
      <c r="H308" s="174"/>
      <c r="I308" s="174"/>
      <c r="J308" s="174"/>
      <c r="K308" s="177"/>
      <c r="L308" s="99"/>
      <c r="M308" s="99"/>
      <c r="N308" s="99"/>
      <c r="O308" s="99"/>
    </row>
    <row r="309" spans="2:15">
      <c r="B309" s="173"/>
      <c r="C309" s="174" t="str">
        <f>IFERROR(VLOOKUP(D309,Tabela2[[Descrição]:[ID. Risco]],2,FALSE),"")</f>
        <v/>
      </c>
      <c r="D309" s="174"/>
      <c r="E309" s="175"/>
      <c r="F309" s="176"/>
      <c r="G309" s="51"/>
      <c r="H309" s="174"/>
      <c r="I309" s="174"/>
      <c r="J309" s="174"/>
      <c r="K309" s="177"/>
      <c r="L309" s="99"/>
      <c r="M309" s="99"/>
      <c r="N309" s="99"/>
      <c r="O309" s="99"/>
    </row>
    <row r="310" spans="2:15">
      <c r="B310" s="173"/>
      <c r="C310" s="174" t="str">
        <f>IFERROR(VLOOKUP(D310,Tabela2[[Descrição]:[ID. Risco]],2,FALSE),"")</f>
        <v/>
      </c>
      <c r="D310" s="174"/>
      <c r="E310" s="175"/>
      <c r="F310" s="176"/>
      <c r="G310" s="51"/>
      <c r="H310" s="174"/>
      <c r="I310" s="174"/>
      <c r="J310" s="174"/>
      <c r="K310" s="177"/>
      <c r="L310" s="99"/>
      <c r="M310" s="99"/>
      <c r="N310" s="99"/>
      <c r="O310" s="99"/>
    </row>
    <row r="311" spans="2:15">
      <c r="B311" s="173"/>
      <c r="C311" s="174" t="str">
        <f>IFERROR(VLOOKUP(D311,Tabela2[[Descrição]:[ID. Risco]],2,FALSE),"")</f>
        <v/>
      </c>
      <c r="D311" s="174"/>
      <c r="E311" s="175"/>
      <c r="F311" s="176"/>
      <c r="G311" s="51"/>
      <c r="H311" s="174"/>
      <c r="I311" s="174"/>
      <c r="J311" s="174"/>
      <c r="K311" s="177"/>
      <c r="L311" s="99"/>
      <c r="M311" s="99"/>
      <c r="N311" s="99"/>
      <c r="O311" s="99"/>
    </row>
    <row r="312" spans="2:15">
      <c r="B312" s="173"/>
      <c r="C312" s="174" t="str">
        <f>IFERROR(VLOOKUP(D312,Tabela2[[Descrição]:[ID. Risco]],2,FALSE),"")</f>
        <v/>
      </c>
      <c r="D312" s="174"/>
      <c r="E312" s="175"/>
      <c r="F312" s="176"/>
      <c r="G312" s="51"/>
      <c r="H312" s="174"/>
      <c r="I312" s="174"/>
      <c r="J312" s="174"/>
      <c r="K312" s="177"/>
      <c r="L312" s="99"/>
      <c r="M312" s="99"/>
      <c r="N312" s="99"/>
      <c r="O312" s="99"/>
    </row>
    <row r="313" spans="2:15">
      <c r="B313" s="173"/>
      <c r="C313" s="174" t="str">
        <f>IFERROR(VLOOKUP(D313,Tabela2[[Descrição]:[ID. Risco]],2,FALSE),"")</f>
        <v/>
      </c>
      <c r="D313" s="174"/>
      <c r="E313" s="175"/>
      <c r="F313" s="176"/>
      <c r="G313" s="51"/>
      <c r="H313" s="174"/>
      <c r="I313" s="174"/>
      <c r="J313" s="174"/>
      <c r="K313" s="177"/>
      <c r="L313" s="99"/>
      <c r="M313" s="99"/>
      <c r="N313" s="99"/>
      <c r="O313" s="99"/>
    </row>
    <row r="314" spans="2:15">
      <c r="B314" s="173"/>
      <c r="C314" s="174" t="str">
        <f>IFERROR(VLOOKUP(D314,Tabela2[[Descrição]:[ID. Risco]],2,FALSE),"")</f>
        <v/>
      </c>
      <c r="D314" s="174"/>
      <c r="E314" s="175"/>
      <c r="F314" s="176"/>
      <c r="G314" s="51"/>
      <c r="H314" s="174"/>
      <c r="I314" s="174"/>
      <c r="J314" s="174"/>
      <c r="K314" s="177"/>
      <c r="L314" s="99"/>
      <c r="M314" s="99"/>
      <c r="N314" s="99"/>
      <c r="O314" s="99"/>
    </row>
    <row r="315" spans="2:15">
      <c r="B315" s="173"/>
      <c r="C315" s="174" t="str">
        <f>IFERROR(VLOOKUP(D315,Tabela2[[Descrição]:[ID. Risco]],2,FALSE),"")</f>
        <v/>
      </c>
      <c r="D315" s="174"/>
      <c r="E315" s="175"/>
      <c r="F315" s="176"/>
      <c r="G315" s="51"/>
      <c r="H315" s="174"/>
      <c r="I315" s="174"/>
      <c r="J315" s="174"/>
      <c r="K315" s="177"/>
      <c r="L315" s="99"/>
      <c r="M315" s="99"/>
      <c r="N315" s="99"/>
      <c r="O315" s="99"/>
    </row>
    <row r="316" spans="2:15">
      <c r="B316" s="173"/>
      <c r="C316" s="174" t="str">
        <f>IFERROR(VLOOKUP(D316,Tabela2[[Descrição]:[ID. Risco]],2,FALSE),"")</f>
        <v/>
      </c>
      <c r="D316" s="174"/>
      <c r="E316" s="174"/>
      <c r="F316" s="178"/>
      <c r="G316" s="174"/>
      <c r="H316" s="174"/>
      <c r="I316" s="174"/>
      <c r="J316" s="174"/>
      <c r="K316" s="177"/>
      <c r="L316" s="99"/>
      <c r="M316" s="99"/>
      <c r="N316" s="99"/>
      <c r="O316" s="99"/>
    </row>
    <row r="317" spans="2:15">
      <c r="B317" s="173"/>
      <c r="C317" s="174" t="str">
        <f>IFERROR(VLOOKUP(D317,Tabela2[[Descrição]:[ID. Risco]],2,FALSE),"")</f>
        <v/>
      </c>
      <c r="D317" s="174"/>
      <c r="E317" s="174"/>
      <c r="F317" s="178"/>
      <c r="G317" s="174"/>
      <c r="H317" s="174"/>
      <c r="I317" s="174"/>
      <c r="J317" s="174"/>
      <c r="K317" s="177"/>
      <c r="L317" s="99"/>
      <c r="M317" s="99"/>
      <c r="N317" s="99"/>
      <c r="O317" s="99"/>
    </row>
    <row r="318" spans="2:15">
      <c r="B318" s="173"/>
      <c r="C318" s="174" t="str">
        <f>IFERROR(VLOOKUP(D318,Tabela2[[Descrição]:[ID. Risco]],2,FALSE),"")</f>
        <v/>
      </c>
      <c r="D318" s="174"/>
      <c r="E318" s="174"/>
      <c r="F318" s="178"/>
      <c r="G318" s="174"/>
      <c r="H318" s="174"/>
      <c r="I318" s="174"/>
      <c r="J318" s="174"/>
      <c r="K318" s="177"/>
      <c r="L318" s="99"/>
      <c r="M318" s="99"/>
      <c r="N318" s="99"/>
      <c r="O318" s="99"/>
    </row>
    <row r="319" spans="2:15">
      <c r="B319" s="173"/>
      <c r="C319" s="174" t="str">
        <f>IFERROR(VLOOKUP(D319,Tabela2[[Descrição]:[ID. Risco]],2,FALSE),"")</f>
        <v/>
      </c>
      <c r="D319" s="174"/>
      <c r="E319" s="174"/>
      <c r="F319" s="178"/>
      <c r="G319" s="174"/>
      <c r="H319" s="174"/>
      <c r="I319" s="174"/>
      <c r="J319" s="174"/>
      <c r="K319" s="177"/>
      <c r="L319" s="99"/>
      <c r="M319" s="99"/>
      <c r="N319" s="99"/>
      <c r="O319" s="99"/>
    </row>
    <row r="320" spans="2:15">
      <c r="B320" s="173"/>
      <c r="C320" s="174" t="str">
        <f>IFERROR(VLOOKUP(D320,Tabela2[[Descrição]:[ID. Risco]],2,FALSE),"")</f>
        <v/>
      </c>
      <c r="D320" s="174"/>
      <c r="E320" s="174"/>
      <c r="F320" s="178"/>
      <c r="G320" s="174"/>
      <c r="H320" s="174"/>
      <c r="I320" s="174"/>
      <c r="J320" s="174"/>
      <c r="K320" s="177"/>
      <c r="L320" s="99"/>
      <c r="M320" s="99"/>
      <c r="N320" s="99"/>
      <c r="O320" s="99"/>
    </row>
    <row r="321" spans="2:15">
      <c r="B321" s="173"/>
      <c r="C321" s="174" t="str">
        <f>IFERROR(VLOOKUP(D321,Tabela2[[Descrição]:[ID. Risco]],2,FALSE),"")</f>
        <v/>
      </c>
      <c r="D321" s="174"/>
      <c r="E321" s="174"/>
      <c r="F321" s="178"/>
      <c r="G321" s="174"/>
      <c r="H321" s="174"/>
      <c r="I321" s="174"/>
      <c r="J321" s="174"/>
      <c r="K321" s="177"/>
      <c r="L321" s="99"/>
      <c r="M321" s="99"/>
      <c r="N321" s="99"/>
      <c r="O321" s="99"/>
    </row>
    <row r="322" spans="2:15">
      <c r="B322" s="173"/>
      <c r="C322" s="174" t="str">
        <f>IFERROR(VLOOKUP(D322,Tabela2[[Descrição]:[ID. Risco]],2,FALSE),"")</f>
        <v/>
      </c>
      <c r="D322" s="174"/>
      <c r="E322" s="174"/>
      <c r="F322" s="178"/>
      <c r="G322" s="174"/>
      <c r="H322" s="174"/>
      <c r="I322" s="174"/>
      <c r="J322" s="174"/>
      <c r="K322" s="177"/>
      <c r="L322" s="99"/>
      <c r="M322" s="99"/>
      <c r="N322" s="99"/>
      <c r="O322" s="99"/>
    </row>
    <row r="323" spans="2:15">
      <c r="B323" s="173"/>
      <c r="C323" s="174" t="str">
        <f>IFERROR(VLOOKUP(D323,Tabela2[[Descrição]:[ID. Risco]],2,FALSE),"")</f>
        <v/>
      </c>
      <c r="D323" s="174"/>
      <c r="E323" s="174"/>
      <c r="F323" s="178"/>
      <c r="G323" s="174"/>
      <c r="H323" s="174"/>
      <c r="I323" s="174"/>
      <c r="J323" s="174"/>
      <c r="K323" s="177"/>
      <c r="L323" s="99"/>
      <c r="M323" s="99"/>
      <c r="N323" s="99"/>
      <c r="O323" s="99"/>
    </row>
    <row r="324" spans="2:15">
      <c r="B324" s="173"/>
      <c r="C324" s="174" t="str">
        <f>IFERROR(VLOOKUP(D324,Tabela2[[Descrição]:[ID. Risco]],2,FALSE),"")</f>
        <v/>
      </c>
      <c r="D324" s="174"/>
      <c r="E324" s="174"/>
      <c r="F324" s="178"/>
      <c r="G324" s="174"/>
      <c r="H324" s="174"/>
      <c r="I324" s="174"/>
      <c r="J324" s="174"/>
      <c r="K324" s="177"/>
      <c r="L324" s="99"/>
      <c r="M324" s="99"/>
      <c r="N324" s="99"/>
      <c r="O324" s="99"/>
    </row>
    <row r="325" spans="2:15">
      <c r="B325" s="173"/>
      <c r="C325" s="174" t="str">
        <f>IFERROR(VLOOKUP(D325,Tabela2[[Descrição]:[ID. Risco]],2,FALSE),"")</f>
        <v/>
      </c>
      <c r="D325" s="174"/>
      <c r="E325" s="174"/>
      <c r="F325" s="178"/>
      <c r="G325" s="174"/>
      <c r="H325" s="174"/>
      <c r="I325" s="174"/>
      <c r="J325" s="174"/>
      <c r="K325" s="177"/>
      <c r="L325" s="99"/>
      <c r="M325" s="99"/>
      <c r="N325" s="99"/>
      <c r="O325" s="99"/>
    </row>
    <row r="326" spans="2:15">
      <c r="B326" s="173"/>
      <c r="C326" s="174" t="str">
        <f>IFERROR(VLOOKUP(D326,Tabela2[[Descrição]:[ID. Risco]],2,FALSE),"")</f>
        <v/>
      </c>
      <c r="D326" s="174"/>
      <c r="E326" s="174"/>
      <c r="F326" s="178"/>
      <c r="G326" s="174"/>
      <c r="H326" s="174"/>
      <c r="I326" s="174"/>
      <c r="J326" s="174"/>
      <c r="K326" s="177"/>
      <c r="L326" s="99"/>
      <c r="M326" s="99"/>
      <c r="N326" s="99"/>
      <c r="O326" s="99"/>
    </row>
    <row r="327" spans="2:15">
      <c r="B327" s="173"/>
      <c r="C327" s="174" t="str">
        <f>IFERROR(VLOOKUP(D327,Tabela2[[Descrição]:[ID. Risco]],2,FALSE),"")</f>
        <v/>
      </c>
      <c r="D327" s="174"/>
      <c r="E327" s="174"/>
      <c r="F327" s="178"/>
      <c r="G327" s="174"/>
      <c r="H327" s="174"/>
      <c r="I327" s="174"/>
      <c r="J327" s="174"/>
      <c r="K327" s="177"/>
      <c r="L327" s="99"/>
      <c r="M327" s="99"/>
      <c r="N327" s="99"/>
      <c r="O327" s="99"/>
    </row>
    <row r="328" spans="2:15">
      <c r="B328" s="179"/>
      <c r="C328" s="180" t="str">
        <f>IFERROR(VLOOKUP(D328,Tabela2[[Descrição]:[ID. Risco]],2,FALSE),"")</f>
        <v/>
      </c>
      <c r="D328" s="180"/>
      <c r="E328" s="180"/>
      <c r="F328" s="181"/>
      <c r="G328" s="180"/>
      <c r="H328" s="180"/>
      <c r="I328" s="180"/>
      <c r="J328" s="180"/>
      <c r="K328" s="182"/>
      <c r="L328" s="99"/>
      <c r="M328" s="99"/>
      <c r="N328" s="99"/>
      <c r="O328" s="99"/>
    </row>
    <row r="329" spans="2:15">
      <c r="B329" s="167"/>
      <c r="C329" s="168" t="str">
        <f>IFERROR(VLOOKUP(D329,Tabela2[[Descrição]:[ID. Risco]],2,FALSE),"")</f>
        <v/>
      </c>
      <c r="D329" s="168"/>
      <c r="E329" s="169"/>
      <c r="F329" s="170"/>
      <c r="G329" s="171"/>
      <c r="H329" s="168"/>
      <c r="I329" s="168"/>
      <c r="J329" s="168"/>
      <c r="K329" s="172"/>
      <c r="L329" s="99"/>
      <c r="M329" s="99"/>
      <c r="N329" s="99"/>
      <c r="O329" s="99"/>
    </row>
    <row r="330" spans="2:15">
      <c r="B330" s="173"/>
      <c r="C330" s="174" t="str">
        <f>IFERROR(VLOOKUP(D330,Tabela2[[Descrição]:[ID. Risco]],2,FALSE),"")</f>
        <v/>
      </c>
      <c r="D330" s="174"/>
      <c r="E330" s="175"/>
      <c r="F330" s="176"/>
      <c r="G330" s="51"/>
      <c r="H330" s="174"/>
      <c r="I330" s="174"/>
      <c r="J330" s="174"/>
      <c r="K330" s="177"/>
      <c r="L330" s="99"/>
      <c r="M330" s="99"/>
      <c r="N330" s="99"/>
      <c r="O330" s="99"/>
    </row>
    <row r="331" spans="2:15">
      <c r="B331" s="173"/>
      <c r="C331" s="174" t="str">
        <f>IFERROR(VLOOKUP(D331,Tabela2[[Descrição]:[ID. Risco]],2,FALSE),"")</f>
        <v/>
      </c>
      <c r="D331" s="174"/>
      <c r="E331" s="175"/>
      <c r="F331" s="176"/>
      <c r="G331" s="51"/>
      <c r="H331" s="174"/>
      <c r="I331" s="174"/>
      <c r="J331" s="174"/>
      <c r="K331" s="177"/>
      <c r="L331" s="99"/>
      <c r="M331" s="99"/>
      <c r="N331" s="99"/>
      <c r="O331" s="99"/>
    </row>
    <row r="332" spans="2:15">
      <c r="B332" s="173"/>
      <c r="C332" s="174" t="str">
        <f>IFERROR(VLOOKUP(D332,Tabela2[[Descrição]:[ID. Risco]],2,FALSE),"")</f>
        <v/>
      </c>
      <c r="D332" s="174"/>
      <c r="E332" s="175"/>
      <c r="F332" s="176"/>
      <c r="G332" s="51"/>
      <c r="H332" s="174"/>
      <c r="I332" s="174"/>
      <c r="J332" s="174"/>
      <c r="K332" s="177"/>
      <c r="L332" s="99"/>
      <c r="M332" s="99"/>
      <c r="N332" s="99"/>
      <c r="O332" s="99"/>
    </row>
    <row r="333" spans="2:15">
      <c r="B333" s="173"/>
      <c r="C333" s="174" t="str">
        <f>IFERROR(VLOOKUP(D333,Tabela2[[Descrição]:[ID. Risco]],2,FALSE),"")</f>
        <v/>
      </c>
      <c r="D333" s="174"/>
      <c r="E333" s="175"/>
      <c r="F333" s="176"/>
      <c r="G333" s="51"/>
      <c r="H333" s="174"/>
      <c r="I333" s="174"/>
      <c r="J333" s="174"/>
      <c r="K333" s="177"/>
      <c r="L333" s="99"/>
      <c r="M333" s="99"/>
      <c r="N333" s="99"/>
      <c r="O333" s="99"/>
    </row>
    <row r="334" spans="2:15">
      <c r="B334" s="173"/>
      <c r="C334" s="174" t="str">
        <f>IFERROR(VLOOKUP(D334,Tabela2[[Descrição]:[ID. Risco]],2,FALSE),"")</f>
        <v/>
      </c>
      <c r="D334" s="174"/>
      <c r="E334" s="175"/>
      <c r="F334" s="176"/>
      <c r="G334" s="51"/>
      <c r="H334" s="174"/>
      <c r="I334" s="174"/>
      <c r="J334" s="174"/>
      <c r="K334" s="177"/>
      <c r="L334" s="99"/>
      <c r="M334" s="99"/>
      <c r="N334" s="99"/>
      <c r="O334" s="99"/>
    </row>
    <row r="335" spans="2:15">
      <c r="B335" s="173"/>
      <c r="C335" s="174" t="str">
        <f>IFERROR(VLOOKUP(D335,Tabela2[[Descrição]:[ID. Risco]],2,FALSE),"")</f>
        <v/>
      </c>
      <c r="D335" s="174"/>
      <c r="E335" s="175"/>
      <c r="F335" s="176"/>
      <c r="G335" s="51"/>
      <c r="H335" s="174"/>
      <c r="I335" s="174"/>
      <c r="J335" s="174"/>
      <c r="K335" s="177"/>
      <c r="L335" s="99"/>
      <c r="M335" s="99"/>
      <c r="N335" s="99"/>
      <c r="O335" s="99"/>
    </row>
    <row r="336" spans="2:15">
      <c r="B336" s="173"/>
      <c r="C336" s="174" t="str">
        <f>IFERROR(VLOOKUP(D336,Tabela2[[Descrição]:[ID. Risco]],2,FALSE),"")</f>
        <v/>
      </c>
      <c r="D336" s="174"/>
      <c r="E336" s="175"/>
      <c r="F336" s="176"/>
      <c r="G336" s="51"/>
      <c r="H336" s="174"/>
      <c r="I336" s="174"/>
      <c r="J336" s="174"/>
      <c r="K336" s="177"/>
      <c r="L336" s="99"/>
      <c r="M336" s="99"/>
      <c r="N336" s="99"/>
      <c r="O336" s="99"/>
    </row>
    <row r="337" spans="2:15">
      <c r="B337" s="173"/>
      <c r="C337" s="174" t="str">
        <f>IFERROR(VLOOKUP(D337,Tabela2[[Descrição]:[ID. Risco]],2,FALSE),"")</f>
        <v/>
      </c>
      <c r="D337" s="174"/>
      <c r="E337" s="175"/>
      <c r="F337" s="176"/>
      <c r="G337" s="51"/>
      <c r="H337" s="174"/>
      <c r="I337" s="174"/>
      <c r="J337" s="174"/>
      <c r="K337" s="177"/>
      <c r="L337" s="99"/>
      <c r="M337" s="99"/>
      <c r="N337" s="99"/>
      <c r="O337" s="99"/>
    </row>
    <row r="338" spans="2:15">
      <c r="B338" s="173"/>
      <c r="C338" s="174" t="str">
        <f>IFERROR(VLOOKUP(D338,Tabela2[[Descrição]:[ID. Risco]],2,FALSE),"")</f>
        <v/>
      </c>
      <c r="D338" s="174"/>
      <c r="E338" s="175"/>
      <c r="F338" s="176"/>
      <c r="G338" s="51"/>
      <c r="H338" s="174"/>
      <c r="I338" s="174"/>
      <c r="J338" s="174"/>
      <c r="K338" s="177"/>
      <c r="L338" s="99"/>
      <c r="M338" s="99"/>
      <c r="N338" s="99"/>
      <c r="O338" s="99"/>
    </row>
    <row r="339" spans="2:15">
      <c r="B339" s="173"/>
      <c r="C339" s="174" t="str">
        <f>IFERROR(VLOOKUP(D339,Tabela2[[Descrição]:[ID. Risco]],2,FALSE),"")</f>
        <v/>
      </c>
      <c r="D339" s="174"/>
      <c r="E339" s="175"/>
      <c r="F339" s="176"/>
      <c r="G339" s="51"/>
      <c r="H339" s="174"/>
      <c r="I339" s="174"/>
      <c r="J339" s="174"/>
      <c r="K339" s="177"/>
      <c r="L339" s="99"/>
      <c r="M339" s="99"/>
      <c r="N339" s="99"/>
      <c r="O339" s="99"/>
    </row>
    <row r="340" spans="2:15">
      <c r="B340" s="173"/>
      <c r="C340" s="174" t="str">
        <f>IFERROR(VLOOKUP(D340,Tabela2[[Descrição]:[ID. Risco]],2,FALSE),"")</f>
        <v/>
      </c>
      <c r="D340" s="174"/>
      <c r="E340" s="175"/>
      <c r="F340" s="176"/>
      <c r="G340" s="51"/>
      <c r="H340" s="174"/>
      <c r="I340" s="174"/>
      <c r="J340" s="174"/>
      <c r="K340" s="177"/>
      <c r="L340" s="99"/>
      <c r="M340" s="99"/>
      <c r="N340" s="99"/>
      <c r="O340" s="99"/>
    </row>
    <row r="341" spans="2:15">
      <c r="B341" s="173"/>
      <c r="C341" s="174" t="str">
        <f>IFERROR(VLOOKUP(D341,Tabela2[[Descrição]:[ID. Risco]],2,FALSE),"")</f>
        <v/>
      </c>
      <c r="D341" s="174"/>
      <c r="E341" s="174"/>
      <c r="F341" s="178"/>
      <c r="G341" s="174"/>
      <c r="H341" s="174"/>
      <c r="I341" s="174"/>
      <c r="J341" s="174"/>
      <c r="K341" s="177"/>
      <c r="L341" s="99"/>
      <c r="M341" s="99"/>
      <c r="N341" s="99"/>
      <c r="O341" s="99"/>
    </row>
    <row r="342" spans="2:15">
      <c r="B342" s="173"/>
      <c r="C342" s="174" t="str">
        <f>IFERROR(VLOOKUP(D342,Tabela2[[Descrição]:[ID. Risco]],2,FALSE),"")</f>
        <v/>
      </c>
      <c r="D342" s="174"/>
      <c r="E342" s="174"/>
      <c r="F342" s="178"/>
      <c r="G342" s="174"/>
      <c r="H342" s="174"/>
      <c r="I342" s="174"/>
      <c r="J342" s="174"/>
      <c r="K342" s="177"/>
      <c r="L342" s="99"/>
      <c r="M342" s="99"/>
      <c r="N342" s="99"/>
      <c r="O342" s="99"/>
    </row>
    <row r="343" spans="2:15">
      <c r="B343" s="173"/>
      <c r="C343" s="174" t="str">
        <f>IFERROR(VLOOKUP(D343,Tabela2[[Descrição]:[ID. Risco]],2,FALSE),"")</f>
        <v/>
      </c>
      <c r="D343" s="174"/>
      <c r="E343" s="174"/>
      <c r="F343" s="178"/>
      <c r="G343" s="174"/>
      <c r="H343" s="174"/>
      <c r="I343" s="174"/>
      <c r="J343" s="174"/>
      <c r="K343" s="177"/>
      <c r="L343" s="99"/>
      <c r="M343" s="99"/>
      <c r="N343" s="99"/>
      <c r="O343" s="99"/>
    </row>
    <row r="344" spans="2:15">
      <c r="B344" s="173"/>
      <c r="C344" s="174" t="str">
        <f>IFERROR(VLOOKUP(D344,Tabela2[[Descrição]:[ID. Risco]],2,FALSE),"")</f>
        <v/>
      </c>
      <c r="D344" s="174"/>
      <c r="E344" s="174"/>
      <c r="F344" s="178"/>
      <c r="G344" s="174"/>
      <c r="H344" s="174"/>
      <c r="I344" s="174"/>
      <c r="J344" s="174"/>
      <c r="K344" s="177"/>
      <c r="L344" s="99"/>
      <c r="M344" s="99"/>
      <c r="N344" s="99"/>
      <c r="O344" s="99"/>
    </row>
    <row r="345" spans="2:15">
      <c r="B345" s="173"/>
      <c r="C345" s="174" t="str">
        <f>IFERROR(VLOOKUP(D345,Tabela2[[Descrição]:[ID. Risco]],2,FALSE),"")</f>
        <v/>
      </c>
      <c r="D345" s="174"/>
      <c r="E345" s="174"/>
      <c r="F345" s="178"/>
      <c r="G345" s="174"/>
      <c r="H345" s="174"/>
      <c r="I345" s="174"/>
      <c r="J345" s="174"/>
      <c r="K345" s="177"/>
      <c r="L345" s="99"/>
      <c r="M345" s="99"/>
      <c r="N345" s="99"/>
      <c r="O345" s="99"/>
    </row>
    <row r="346" spans="2:15">
      <c r="B346" s="173"/>
      <c r="C346" s="174" t="str">
        <f>IFERROR(VLOOKUP(D346,Tabela2[[Descrição]:[ID. Risco]],2,FALSE),"")</f>
        <v/>
      </c>
      <c r="D346" s="174"/>
      <c r="E346" s="174"/>
      <c r="F346" s="178"/>
      <c r="G346" s="174"/>
      <c r="H346" s="174"/>
      <c r="I346" s="174"/>
      <c r="J346" s="174"/>
      <c r="K346" s="177"/>
      <c r="L346" s="99"/>
      <c r="M346" s="99"/>
      <c r="N346" s="99"/>
      <c r="O346" s="99"/>
    </row>
    <row r="347" spans="2:15">
      <c r="B347" s="173"/>
      <c r="C347" s="174" t="str">
        <f>IFERROR(VLOOKUP(D347,Tabela2[[Descrição]:[ID. Risco]],2,FALSE),"")</f>
        <v/>
      </c>
      <c r="D347" s="174"/>
      <c r="E347" s="174"/>
      <c r="F347" s="178"/>
      <c r="G347" s="174"/>
      <c r="H347" s="174"/>
      <c r="I347" s="174"/>
      <c r="J347" s="174"/>
      <c r="K347" s="177"/>
      <c r="L347" s="99"/>
      <c r="M347" s="99"/>
      <c r="N347" s="99"/>
      <c r="O347" s="99"/>
    </row>
    <row r="348" spans="2:15">
      <c r="B348" s="173"/>
      <c r="C348" s="174" t="str">
        <f>IFERROR(VLOOKUP(D348,Tabela2[[Descrição]:[ID. Risco]],2,FALSE),"")</f>
        <v/>
      </c>
      <c r="D348" s="174"/>
      <c r="E348" s="174"/>
      <c r="F348" s="178"/>
      <c r="G348" s="174"/>
      <c r="H348" s="174"/>
      <c r="I348" s="174"/>
      <c r="J348" s="174"/>
      <c r="K348" s="177"/>
      <c r="L348" s="99"/>
      <c r="M348" s="99"/>
      <c r="N348" s="99"/>
      <c r="O348" s="99"/>
    </row>
    <row r="349" spans="2:15">
      <c r="B349" s="173"/>
      <c r="C349" s="174" t="str">
        <f>IFERROR(VLOOKUP(D349,Tabela2[[Descrição]:[ID. Risco]],2,FALSE),"")</f>
        <v/>
      </c>
      <c r="D349" s="174"/>
      <c r="E349" s="174"/>
      <c r="F349" s="178"/>
      <c r="G349" s="174"/>
      <c r="H349" s="174"/>
      <c r="I349" s="174"/>
      <c r="J349" s="174"/>
      <c r="K349" s="177"/>
      <c r="L349" s="99"/>
      <c r="M349" s="99"/>
      <c r="N349" s="99"/>
      <c r="O349" s="99"/>
    </row>
    <row r="350" spans="2:15">
      <c r="B350" s="173"/>
      <c r="C350" s="174" t="str">
        <f>IFERROR(VLOOKUP(D350,Tabela2[[Descrição]:[ID. Risco]],2,FALSE),"")</f>
        <v/>
      </c>
      <c r="D350" s="174"/>
      <c r="E350" s="174"/>
      <c r="F350" s="178"/>
      <c r="G350" s="174"/>
      <c r="H350" s="174"/>
      <c r="I350" s="174"/>
      <c r="J350" s="174"/>
      <c r="K350" s="177"/>
      <c r="L350" s="99"/>
      <c r="M350" s="99"/>
      <c r="N350" s="99"/>
      <c r="O350" s="99"/>
    </row>
    <row r="351" spans="2:15">
      <c r="B351" s="173"/>
      <c r="C351" s="174" t="str">
        <f>IFERROR(VLOOKUP(D351,Tabela2[[Descrição]:[ID. Risco]],2,FALSE),"")</f>
        <v/>
      </c>
      <c r="D351" s="174"/>
      <c r="E351" s="174"/>
      <c r="F351" s="178"/>
      <c r="G351" s="174"/>
      <c r="H351" s="174"/>
      <c r="I351" s="174"/>
      <c r="J351" s="174"/>
      <c r="K351" s="177"/>
      <c r="L351" s="99"/>
      <c r="M351" s="99"/>
      <c r="N351" s="99"/>
      <c r="O351" s="99"/>
    </row>
    <row r="352" spans="2:15">
      <c r="B352" s="173"/>
      <c r="C352" s="174" t="str">
        <f>IFERROR(VLOOKUP(D352,Tabela2[[Descrição]:[ID. Risco]],2,FALSE),"")</f>
        <v/>
      </c>
      <c r="D352" s="174"/>
      <c r="E352" s="174"/>
      <c r="F352" s="178"/>
      <c r="G352" s="174"/>
      <c r="H352" s="174"/>
      <c r="I352" s="174"/>
      <c r="J352" s="174"/>
      <c r="K352" s="177"/>
      <c r="L352" s="99"/>
      <c r="M352" s="99"/>
      <c r="N352" s="99"/>
      <c r="O352" s="99"/>
    </row>
    <row r="353" spans="2:15">
      <c r="B353" s="179"/>
      <c r="C353" s="180" t="str">
        <f>IFERROR(VLOOKUP(D353,Tabela2[[Descrição]:[ID. Risco]],2,FALSE),"")</f>
        <v/>
      </c>
      <c r="D353" s="180"/>
      <c r="E353" s="180"/>
      <c r="F353" s="181"/>
      <c r="G353" s="180"/>
      <c r="H353" s="180"/>
      <c r="I353" s="180"/>
      <c r="J353" s="180"/>
      <c r="K353" s="182"/>
      <c r="L353" s="99"/>
      <c r="M353" s="99"/>
      <c r="N353" s="99"/>
      <c r="O353" s="99"/>
    </row>
    <row r="354" spans="2:15">
      <c r="B354" s="167"/>
      <c r="C354" s="168" t="str">
        <f>IFERROR(VLOOKUP(D354,Tabela2[[Descrição]:[ID. Risco]],2,FALSE),"")</f>
        <v/>
      </c>
      <c r="D354" s="168"/>
      <c r="E354" s="169"/>
      <c r="F354" s="170"/>
      <c r="G354" s="171"/>
      <c r="H354" s="168"/>
      <c r="I354" s="168"/>
      <c r="J354" s="168"/>
      <c r="K354" s="172"/>
      <c r="L354" s="99"/>
      <c r="M354" s="99"/>
      <c r="N354" s="99"/>
      <c r="O354" s="99"/>
    </row>
    <row r="355" spans="2:15">
      <c r="B355" s="173"/>
      <c r="C355" s="174" t="str">
        <f>IFERROR(VLOOKUP(D355,Tabela2[[Descrição]:[ID. Risco]],2,FALSE),"")</f>
        <v/>
      </c>
      <c r="D355" s="174"/>
      <c r="E355" s="175"/>
      <c r="F355" s="176"/>
      <c r="G355" s="51"/>
      <c r="H355" s="174"/>
      <c r="I355" s="174"/>
      <c r="J355" s="174"/>
      <c r="K355" s="177"/>
      <c r="L355" s="99"/>
      <c r="M355" s="99"/>
      <c r="N355" s="99"/>
      <c r="O355" s="99"/>
    </row>
    <row r="356" spans="2:15">
      <c r="B356" s="173"/>
      <c r="C356" s="174" t="str">
        <f>IFERROR(VLOOKUP(D356,Tabela2[[Descrição]:[ID. Risco]],2,FALSE),"")</f>
        <v/>
      </c>
      <c r="D356" s="174"/>
      <c r="E356" s="175"/>
      <c r="F356" s="176"/>
      <c r="G356" s="51"/>
      <c r="H356" s="174"/>
      <c r="I356" s="174"/>
      <c r="J356" s="174"/>
      <c r="K356" s="177"/>
      <c r="L356" s="99"/>
      <c r="M356" s="99"/>
      <c r="N356" s="99"/>
      <c r="O356" s="99"/>
    </row>
    <row r="357" spans="2:15">
      <c r="B357" s="173"/>
      <c r="C357" s="174" t="str">
        <f>IFERROR(VLOOKUP(D357,Tabela2[[Descrição]:[ID. Risco]],2,FALSE),"")</f>
        <v/>
      </c>
      <c r="D357" s="174"/>
      <c r="E357" s="175"/>
      <c r="F357" s="176"/>
      <c r="G357" s="51"/>
      <c r="H357" s="174"/>
      <c r="I357" s="174"/>
      <c r="J357" s="174"/>
      <c r="K357" s="177"/>
      <c r="L357" s="99"/>
      <c r="M357" s="99"/>
      <c r="N357" s="99"/>
      <c r="O357" s="99"/>
    </row>
    <row r="358" spans="2:15">
      <c r="B358" s="173"/>
      <c r="C358" s="174" t="str">
        <f>IFERROR(VLOOKUP(D358,Tabela2[[Descrição]:[ID. Risco]],2,FALSE),"")</f>
        <v/>
      </c>
      <c r="D358" s="174"/>
      <c r="E358" s="175"/>
      <c r="F358" s="176"/>
      <c r="G358" s="51"/>
      <c r="H358" s="174"/>
      <c r="I358" s="174"/>
      <c r="J358" s="174"/>
      <c r="K358" s="177"/>
      <c r="L358" s="99"/>
      <c r="M358" s="99"/>
      <c r="N358" s="99"/>
      <c r="O358" s="99"/>
    </row>
    <row r="359" spans="2:15">
      <c r="B359" s="173"/>
      <c r="C359" s="174" t="str">
        <f>IFERROR(VLOOKUP(D359,Tabela2[[Descrição]:[ID. Risco]],2,FALSE),"")</f>
        <v/>
      </c>
      <c r="D359" s="174"/>
      <c r="E359" s="175"/>
      <c r="F359" s="176"/>
      <c r="G359" s="51"/>
      <c r="H359" s="174"/>
      <c r="I359" s="174"/>
      <c r="J359" s="174"/>
      <c r="K359" s="177"/>
      <c r="L359" s="99"/>
      <c r="M359" s="99"/>
      <c r="N359" s="99"/>
      <c r="O359" s="99"/>
    </row>
    <row r="360" spans="2:15">
      <c r="B360" s="173"/>
      <c r="C360" s="174" t="str">
        <f>IFERROR(VLOOKUP(D360,Tabela2[[Descrição]:[ID. Risco]],2,FALSE),"")</f>
        <v/>
      </c>
      <c r="D360" s="174"/>
      <c r="E360" s="175"/>
      <c r="F360" s="176"/>
      <c r="G360" s="51"/>
      <c r="H360" s="174"/>
      <c r="I360" s="174"/>
      <c r="J360" s="174"/>
      <c r="K360" s="177"/>
      <c r="L360" s="99"/>
      <c r="M360" s="99"/>
      <c r="N360" s="99"/>
      <c r="O360" s="99"/>
    </row>
    <row r="361" spans="2:15">
      <c r="B361" s="173"/>
      <c r="C361" s="174" t="str">
        <f>IFERROR(VLOOKUP(D361,Tabela2[[Descrição]:[ID. Risco]],2,FALSE),"")</f>
        <v/>
      </c>
      <c r="D361" s="174"/>
      <c r="E361" s="175"/>
      <c r="F361" s="176"/>
      <c r="G361" s="51"/>
      <c r="H361" s="174"/>
      <c r="I361" s="174"/>
      <c r="J361" s="174"/>
      <c r="K361" s="177"/>
      <c r="L361" s="99"/>
      <c r="M361" s="99"/>
      <c r="N361" s="99"/>
      <c r="O361" s="99"/>
    </row>
    <row r="362" spans="2:15">
      <c r="B362" s="173"/>
      <c r="C362" s="174" t="str">
        <f>IFERROR(VLOOKUP(D362,Tabela2[[Descrição]:[ID. Risco]],2,FALSE),"")</f>
        <v/>
      </c>
      <c r="D362" s="174"/>
      <c r="E362" s="175"/>
      <c r="F362" s="176"/>
      <c r="G362" s="51"/>
      <c r="H362" s="174"/>
      <c r="I362" s="174"/>
      <c r="J362" s="174"/>
      <c r="K362" s="177"/>
      <c r="L362" s="99"/>
      <c r="M362" s="99"/>
      <c r="N362" s="99"/>
      <c r="O362" s="99"/>
    </row>
    <row r="363" spans="2:15">
      <c r="B363" s="173"/>
      <c r="C363" s="174" t="str">
        <f>IFERROR(VLOOKUP(D363,Tabela2[[Descrição]:[ID. Risco]],2,FALSE),"")</f>
        <v/>
      </c>
      <c r="D363" s="174"/>
      <c r="E363" s="175"/>
      <c r="F363" s="176"/>
      <c r="G363" s="51"/>
      <c r="H363" s="174"/>
      <c r="I363" s="174"/>
      <c r="J363" s="174"/>
      <c r="K363" s="177"/>
      <c r="L363" s="99"/>
      <c r="M363" s="99"/>
      <c r="N363" s="99"/>
      <c r="O363" s="99"/>
    </row>
    <row r="364" spans="2:15">
      <c r="B364" s="173"/>
      <c r="C364" s="174" t="str">
        <f>IFERROR(VLOOKUP(D364,Tabela2[[Descrição]:[ID. Risco]],2,FALSE),"")</f>
        <v/>
      </c>
      <c r="D364" s="174"/>
      <c r="E364" s="175"/>
      <c r="F364" s="176"/>
      <c r="G364" s="51"/>
      <c r="H364" s="174"/>
      <c r="I364" s="174"/>
      <c r="J364" s="174"/>
      <c r="K364" s="177"/>
      <c r="L364" s="99"/>
      <c r="M364" s="99"/>
      <c r="N364" s="99"/>
      <c r="O364" s="99"/>
    </row>
    <row r="365" spans="2:15">
      <c r="B365" s="173"/>
      <c r="C365" s="174" t="str">
        <f>IFERROR(VLOOKUP(D365,Tabela2[[Descrição]:[ID. Risco]],2,FALSE),"")</f>
        <v/>
      </c>
      <c r="D365" s="174"/>
      <c r="E365" s="175"/>
      <c r="F365" s="176"/>
      <c r="G365" s="51"/>
      <c r="H365" s="174"/>
      <c r="I365" s="174"/>
      <c r="J365" s="174"/>
      <c r="K365" s="177"/>
      <c r="L365" s="99"/>
      <c r="M365" s="99"/>
      <c r="N365" s="99"/>
      <c r="O365" s="99"/>
    </row>
    <row r="366" spans="2:15">
      <c r="B366" s="173"/>
      <c r="C366" s="174" t="str">
        <f>IFERROR(VLOOKUP(D366,Tabela2[[Descrição]:[ID. Risco]],2,FALSE),"")</f>
        <v/>
      </c>
      <c r="D366" s="174"/>
      <c r="E366" s="174"/>
      <c r="F366" s="178"/>
      <c r="G366" s="174"/>
      <c r="H366" s="174"/>
      <c r="I366" s="174"/>
      <c r="J366" s="174"/>
      <c r="K366" s="177"/>
      <c r="L366" s="99"/>
      <c r="M366" s="99"/>
      <c r="N366" s="99"/>
      <c r="O366" s="99"/>
    </row>
    <row r="367" spans="2:15">
      <c r="B367" s="173"/>
      <c r="C367" s="174" t="str">
        <f>IFERROR(VLOOKUP(D367,Tabela2[[Descrição]:[ID. Risco]],2,FALSE),"")</f>
        <v/>
      </c>
      <c r="D367" s="174"/>
      <c r="E367" s="174"/>
      <c r="F367" s="178"/>
      <c r="G367" s="174"/>
      <c r="H367" s="174"/>
      <c r="I367" s="174"/>
      <c r="J367" s="174"/>
      <c r="K367" s="177"/>
      <c r="L367" s="99"/>
      <c r="M367" s="99"/>
      <c r="N367" s="99"/>
      <c r="O367" s="99"/>
    </row>
    <row r="368" spans="2:15">
      <c r="B368" s="173"/>
      <c r="C368" s="174" t="str">
        <f>IFERROR(VLOOKUP(D368,Tabela2[[Descrição]:[ID. Risco]],2,FALSE),"")</f>
        <v/>
      </c>
      <c r="D368" s="174"/>
      <c r="E368" s="174"/>
      <c r="F368" s="178"/>
      <c r="G368" s="174"/>
      <c r="H368" s="174"/>
      <c r="I368" s="174"/>
      <c r="J368" s="174"/>
      <c r="K368" s="177"/>
      <c r="L368" s="99"/>
      <c r="M368" s="99"/>
      <c r="N368" s="99"/>
      <c r="O368" s="99"/>
    </row>
    <row r="369" spans="2:15">
      <c r="B369" s="173"/>
      <c r="C369" s="174" t="str">
        <f>IFERROR(VLOOKUP(D369,Tabela2[[Descrição]:[ID. Risco]],2,FALSE),"")</f>
        <v/>
      </c>
      <c r="D369" s="174"/>
      <c r="E369" s="174"/>
      <c r="F369" s="178"/>
      <c r="G369" s="174"/>
      <c r="H369" s="174"/>
      <c r="I369" s="174"/>
      <c r="J369" s="174"/>
      <c r="K369" s="177"/>
      <c r="L369" s="99"/>
      <c r="M369" s="99"/>
      <c r="N369" s="99"/>
      <c r="O369" s="99"/>
    </row>
    <row r="370" spans="2:15">
      <c r="B370" s="173"/>
      <c r="C370" s="174" t="str">
        <f>IFERROR(VLOOKUP(D370,Tabela2[[Descrição]:[ID. Risco]],2,FALSE),"")</f>
        <v/>
      </c>
      <c r="D370" s="174"/>
      <c r="E370" s="174"/>
      <c r="F370" s="178"/>
      <c r="G370" s="174"/>
      <c r="H370" s="174"/>
      <c r="I370" s="174"/>
      <c r="J370" s="174"/>
      <c r="K370" s="177"/>
      <c r="L370" s="99"/>
      <c r="M370" s="99"/>
      <c r="N370" s="99"/>
      <c r="O370" s="99"/>
    </row>
    <row r="371" spans="2:15">
      <c r="B371" s="173"/>
      <c r="C371" s="174" t="str">
        <f>IFERROR(VLOOKUP(D371,Tabela2[[Descrição]:[ID. Risco]],2,FALSE),"")</f>
        <v/>
      </c>
      <c r="D371" s="174"/>
      <c r="E371" s="174"/>
      <c r="F371" s="178"/>
      <c r="G371" s="174"/>
      <c r="H371" s="174"/>
      <c r="I371" s="174"/>
      <c r="J371" s="174"/>
      <c r="K371" s="177"/>
      <c r="L371" s="99"/>
      <c r="M371" s="99"/>
      <c r="N371" s="99"/>
      <c r="O371" s="99"/>
    </row>
    <row r="372" spans="2:15">
      <c r="B372" s="173"/>
      <c r="C372" s="174" t="str">
        <f>IFERROR(VLOOKUP(D372,Tabela2[[Descrição]:[ID. Risco]],2,FALSE),"")</f>
        <v/>
      </c>
      <c r="D372" s="174"/>
      <c r="E372" s="174"/>
      <c r="F372" s="178"/>
      <c r="G372" s="174"/>
      <c r="H372" s="174"/>
      <c r="I372" s="174"/>
      <c r="J372" s="174"/>
      <c r="K372" s="177"/>
      <c r="L372" s="99"/>
      <c r="M372" s="99"/>
      <c r="N372" s="99"/>
      <c r="O372" s="99"/>
    </row>
    <row r="373" spans="2:15">
      <c r="B373" s="173"/>
      <c r="C373" s="174" t="str">
        <f>IFERROR(VLOOKUP(D373,Tabela2[[Descrição]:[ID. Risco]],2,FALSE),"")</f>
        <v/>
      </c>
      <c r="D373" s="174"/>
      <c r="E373" s="174"/>
      <c r="F373" s="178"/>
      <c r="G373" s="174"/>
      <c r="H373" s="174"/>
      <c r="I373" s="174"/>
      <c r="J373" s="174"/>
      <c r="K373" s="177"/>
      <c r="L373" s="99"/>
      <c r="M373" s="99"/>
      <c r="N373" s="99"/>
      <c r="O373" s="99"/>
    </row>
    <row r="374" spans="2:15">
      <c r="B374" s="173"/>
      <c r="C374" s="174" t="str">
        <f>IFERROR(VLOOKUP(D374,Tabela2[[Descrição]:[ID. Risco]],2,FALSE),"")</f>
        <v/>
      </c>
      <c r="D374" s="174"/>
      <c r="E374" s="174"/>
      <c r="F374" s="178"/>
      <c r="G374" s="174"/>
      <c r="H374" s="174"/>
      <c r="I374" s="174"/>
      <c r="J374" s="174"/>
      <c r="K374" s="177"/>
      <c r="L374" s="99"/>
      <c r="M374" s="99"/>
      <c r="N374" s="99"/>
      <c r="O374" s="99"/>
    </row>
    <row r="375" spans="2:15">
      <c r="B375" s="173"/>
      <c r="C375" s="174" t="str">
        <f>IFERROR(VLOOKUP(D375,Tabela2[[Descrição]:[ID. Risco]],2,FALSE),"")</f>
        <v/>
      </c>
      <c r="D375" s="174"/>
      <c r="E375" s="174"/>
      <c r="F375" s="178"/>
      <c r="G375" s="174"/>
      <c r="H375" s="174"/>
      <c r="I375" s="174"/>
      <c r="J375" s="174"/>
      <c r="K375" s="177"/>
      <c r="L375" s="99"/>
      <c r="M375" s="99"/>
      <c r="N375" s="99"/>
      <c r="O375" s="99"/>
    </row>
    <row r="376" spans="2:15">
      <c r="B376" s="173"/>
      <c r="C376" s="174" t="str">
        <f>IFERROR(VLOOKUP(D376,Tabela2[[Descrição]:[ID. Risco]],2,FALSE),"")</f>
        <v/>
      </c>
      <c r="D376" s="174"/>
      <c r="E376" s="174"/>
      <c r="F376" s="178"/>
      <c r="G376" s="174"/>
      <c r="H376" s="174"/>
      <c r="I376" s="174"/>
      <c r="J376" s="174"/>
      <c r="K376" s="177"/>
      <c r="L376" s="99"/>
      <c r="M376" s="99"/>
      <c r="N376" s="99"/>
      <c r="O376" s="99"/>
    </row>
    <row r="377" spans="2:15">
      <c r="B377" s="173"/>
      <c r="C377" s="174" t="str">
        <f>IFERROR(VLOOKUP(D377,Tabela2[[Descrição]:[ID. Risco]],2,FALSE),"")</f>
        <v/>
      </c>
      <c r="D377" s="174"/>
      <c r="E377" s="174"/>
      <c r="F377" s="178"/>
      <c r="G377" s="174"/>
      <c r="H377" s="174"/>
      <c r="I377" s="174"/>
      <c r="J377" s="174"/>
      <c r="K377" s="177"/>
      <c r="L377" s="99"/>
      <c r="M377" s="99"/>
      <c r="N377" s="99"/>
      <c r="O377" s="99"/>
    </row>
    <row r="378" spans="2:15">
      <c r="B378" s="179"/>
      <c r="C378" s="180" t="str">
        <f>IFERROR(VLOOKUP(D378,Tabela2[[Descrição]:[ID. Risco]],2,FALSE),"")</f>
        <v/>
      </c>
      <c r="D378" s="180"/>
      <c r="E378" s="180"/>
      <c r="F378" s="181"/>
      <c r="G378" s="180"/>
      <c r="H378" s="180"/>
      <c r="I378" s="180"/>
      <c r="J378" s="180"/>
      <c r="K378" s="182"/>
      <c r="L378" s="99"/>
      <c r="M378" s="99"/>
      <c r="N378" s="99"/>
      <c r="O378" s="99"/>
    </row>
    <row r="379" spans="2:15">
      <c r="B379" s="167"/>
      <c r="C379" s="168" t="str">
        <f>IFERROR(VLOOKUP(D379,Tabela2[[Descrição]:[ID. Risco]],2,FALSE),"")</f>
        <v/>
      </c>
      <c r="D379" s="168"/>
      <c r="E379" s="169"/>
      <c r="F379" s="170"/>
      <c r="G379" s="171"/>
      <c r="H379" s="168"/>
      <c r="I379" s="168"/>
      <c r="J379" s="168"/>
      <c r="K379" s="172"/>
      <c r="L379" s="99"/>
      <c r="M379" s="99"/>
      <c r="N379" s="99"/>
      <c r="O379" s="99"/>
    </row>
    <row r="380" spans="2:15">
      <c r="B380" s="173"/>
      <c r="C380" s="174" t="str">
        <f>IFERROR(VLOOKUP(D380,Tabela2[[Descrição]:[ID. Risco]],2,FALSE),"")</f>
        <v/>
      </c>
      <c r="D380" s="174"/>
      <c r="E380" s="175"/>
      <c r="F380" s="176"/>
      <c r="G380" s="51"/>
      <c r="H380" s="174"/>
      <c r="I380" s="174"/>
      <c r="J380" s="174"/>
      <c r="K380" s="177"/>
      <c r="L380" s="99"/>
      <c r="M380" s="99"/>
      <c r="N380" s="99"/>
      <c r="O380" s="99"/>
    </row>
    <row r="381" spans="2:15">
      <c r="B381" s="173"/>
      <c r="C381" s="174" t="str">
        <f>IFERROR(VLOOKUP(D381,Tabela2[[Descrição]:[ID. Risco]],2,FALSE),"")</f>
        <v/>
      </c>
      <c r="D381" s="174"/>
      <c r="E381" s="175"/>
      <c r="F381" s="176"/>
      <c r="G381" s="51"/>
      <c r="H381" s="174"/>
      <c r="I381" s="174"/>
      <c r="J381" s="174"/>
      <c r="K381" s="177"/>
      <c r="L381" s="99"/>
      <c r="M381" s="99"/>
      <c r="N381" s="99"/>
      <c r="O381" s="99"/>
    </row>
    <row r="382" spans="2:15">
      <c r="B382" s="173"/>
      <c r="C382" s="174" t="str">
        <f>IFERROR(VLOOKUP(D382,Tabela2[[Descrição]:[ID. Risco]],2,FALSE),"")</f>
        <v/>
      </c>
      <c r="D382" s="174"/>
      <c r="E382" s="175"/>
      <c r="F382" s="176"/>
      <c r="G382" s="51"/>
      <c r="H382" s="174"/>
      <c r="I382" s="174"/>
      <c r="J382" s="174"/>
      <c r="K382" s="177"/>
      <c r="L382" s="99"/>
      <c r="M382" s="99"/>
      <c r="N382" s="99"/>
      <c r="O382" s="99"/>
    </row>
    <row r="383" spans="2:15">
      <c r="B383" s="173"/>
      <c r="C383" s="174" t="str">
        <f>IFERROR(VLOOKUP(D383,Tabela2[[Descrição]:[ID. Risco]],2,FALSE),"")</f>
        <v/>
      </c>
      <c r="D383" s="174"/>
      <c r="E383" s="175"/>
      <c r="F383" s="176"/>
      <c r="G383" s="51"/>
      <c r="H383" s="174"/>
      <c r="I383" s="174"/>
      <c r="J383" s="174"/>
      <c r="K383" s="177"/>
      <c r="L383" s="99"/>
      <c r="M383" s="99"/>
      <c r="N383" s="99"/>
      <c r="O383" s="99"/>
    </row>
    <row r="384" spans="2:15">
      <c r="B384" s="173"/>
      <c r="C384" s="174" t="str">
        <f>IFERROR(VLOOKUP(D384,Tabela2[[Descrição]:[ID. Risco]],2,FALSE),"")</f>
        <v/>
      </c>
      <c r="D384" s="174"/>
      <c r="E384" s="175"/>
      <c r="F384" s="176"/>
      <c r="G384" s="51"/>
      <c r="H384" s="174"/>
      <c r="I384" s="174"/>
      <c r="J384" s="174"/>
      <c r="K384" s="177"/>
      <c r="L384" s="99"/>
      <c r="M384" s="99"/>
      <c r="N384" s="99"/>
      <c r="O384" s="99"/>
    </row>
    <row r="385" spans="2:15">
      <c r="B385" s="173"/>
      <c r="C385" s="174" t="str">
        <f>IFERROR(VLOOKUP(D385,Tabela2[[Descrição]:[ID. Risco]],2,FALSE),"")</f>
        <v/>
      </c>
      <c r="D385" s="174"/>
      <c r="E385" s="175"/>
      <c r="F385" s="176"/>
      <c r="G385" s="51"/>
      <c r="H385" s="174"/>
      <c r="I385" s="174"/>
      <c r="J385" s="174"/>
      <c r="K385" s="177"/>
      <c r="L385" s="99"/>
      <c r="M385" s="99"/>
      <c r="N385" s="99"/>
      <c r="O385" s="99"/>
    </row>
    <row r="386" spans="2:15">
      <c r="B386" s="173"/>
      <c r="C386" s="174" t="str">
        <f>IFERROR(VLOOKUP(D386,Tabela2[[Descrição]:[ID. Risco]],2,FALSE),"")</f>
        <v/>
      </c>
      <c r="D386" s="174"/>
      <c r="E386" s="175"/>
      <c r="F386" s="176"/>
      <c r="G386" s="51"/>
      <c r="H386" s="174"/>
      <c r="I386" s="174"/>
      <c r="J386" s="174"/>
      <c r="K386" s="177"/>
      <c r="L386" s="99"/>
      <c r="M386" s="99"/>
      <c r="N386" s="99"/>
      <c r="O386" s="99"/>
    </row>
    <row r="387" spans="2:15">
      <c r="B387" s="173"/>
      <c r="C387" s="174" t="str">
        <f>IFERROR(VLOOKUP(D387,Tabela2[[Descrição]:[ID. Risco]],2,FALSE),"")</f>
        <v/>
      </c>
      <c r="D387" s="174"/>
      <c r="E387" s="175"/>
      <c r="F387" s="176"/>
      <c r="G387" s="51"/>
      <c r="H387" s="174"/>
      <c r="I387" s="174"/>
      <c r="J387" s="174"/>
      <c r="K387" s="177"/>
      <c r="L387" s="99"/>
      <c r="M387" s="99"/>
      <c r="N387" s="99"/>
      <c r="O387" s="99"/>
    </row>
    <row r="388" spans="2:15">
      <c r="B388" s="173"/>
      <c r="C388" s="174" t="str">
        <f>IFERROR(VLOOKUP(D388,Tabela2[[Descrição]:[ID. Risco]],2,FALSE),"")</f>
        <v/>
      </c>
      <c r="D388" s="174"/>
      <c r="E388" s="175"/>
      <c r="F388" s="176"/>
      <c r="G388" s="51"/>
      <c r="H388" s="174"/>
      <c r="I388" s="174"/>
      <c r="J388" s="174"/>
      <c r="K388" s="177"/>
      <c r="L388" s="99"/>
      <c r="M388" s="99"/>
      <c r="N388" s="99"/>
      <c r="O388" s="99"/>
    </row>
    <row r="389" spans="2:15">
      <c r="B389" s="173"/>
      <c r="C389" s="174" t="str">
        <f>IFERROR(VLOOKUP(D389,Tabela2[[Descrição]:[ID. Risco]],2,FALSE),"")</f>
        <v/>
      </c>
      <c r="D389" s="174"/>
      <c r="E389" s="175"/>
      <c r="F389" s="176"/>
      <c r="G389" s="51"/>
      <c r="H389" s="174"/>
      <c r="I389" s="174"/>
      <c r="J389" s="174"/>
      <c r="K389" s="177"/>
      <c r="L389" s="99"/>
      <c r="M389" s="99"/>
      <c r="N389" s="99"/>
      <c r="O389" s="99"/>
    </row>
    <row r="390" spans="2:15">
      <c r="B390" s="173"/>
      <c r="C390" s="174" t="str">
        <f>IFERROR(VLOOKUP(D390,Tabela2[[Descrição]:[ID. Risco]],2,FALSE),"")</f>
        <v/>
      </c>
      <c r="D390" s="174"/>
      <c r="E390" s="175"/>
      <c r="F390" s="176"/>
      <c r="G390" s="51"/>
      <c r="H390" s="174"/>
      <c r="I390" s="174"/>
      <c r="J390" s="174"/>
      <c r="K390" s="177"/>
      <c r="L390" s="99"/>
      <c r="M390" s="99"/>
      <c r="N390" s="99"/>
      <c r="O390" s="99"/>
    </row>
    <row r="391" spans="2:15">
      <c r="B391" s="173"/>
      <c r="C391" s="174" t="str">
        <f>IFERROR(VLOOKUP(D391,Tabela2[[Descrição]:[ID. Risco]],2,FALSE),"")</f>
        <v/>
      </c>
      <c r="D391" s="174"/>
      <c r="E391" s="174"/>
      <c r="F391" s="178"/>
      <c r="G391" s="174"/>
      <c r="H391" s="174"/>
      <c r="I391" s="174"/>
      <c r="J391" s="174"/>
      <c r="K391" s="177"/>
      <c r="L391" s="99"/>
      <c r="M391" s="99"/>
      <c r="N391" s="99"/>
      <c r="O391" s="99"/>
    </row>
    <row r="392" spans="2:15">
      <c r="B392" s="173"/>
      <c r="C392" s="174" t="str">
        <f>IFERROR(VLOOKUP(D392,Tabela2[[Descrição]:[ID. Risco]],2,FALSE),"")</f>
        <v/>
      </c>
      <c r="D392" s="174"/>
      <c r="E392" s="174"/>
      <c r="F392" s="178"/>
      <c r="G392" s="174"/>
      <c r="H392" s="174"/>
      <c r="I392" s="174"/>
      <c r="J392" s="174"/>
      <c r="K392" s="177"/>
      <c r="L392" s="99"/>
      <c r="M392" s="99"/>
      <c r="N392" s="99"/>
      <c r="O392" s="99"/>
    </row>
    <row r="393" spans="2:15">
      <c r="B393" s="173"/>
      <c r="C393" s="174" t="str">
        <f>IFERROR(VLOOKUP(D393,Tabela2[[Descrição]:[ID. Risco]],2,FALSE),"")</f>
        <v/>
      </c>
      <c r="D393" s="174"/>
      <c r="E393" s="174"/>
      <c r="F393" s="178"/>
      <c r="G393" s="174"/>
      <c r="H393" s="174"/>
      <c r="I393" s="174"/>
      <c r="J393" s="174"/>
      <c r="K393" s="177"/>
      <c r="L393" s="99"/>
      <c r="M393" s="99"/>
      <c r="N393" s="99"/>
      <c r="O393" s="99"/>
    </row>
    <row r="394" spans="2:15">
      <c r="B394" s="173"/>
      <c r="C394" s="174" t="str">
        <f>IFERROR(VLOOKUP(D394,Tabela2[[Descrição]:[ID. Risco]],2,FALSE),"")</f>
        <v/>
      </c>
      <c r="D394" s="174"/>
      <c r="E394" s="174"/>
      <c r="F394" s="178"/>
      <c r="G394" s="174"/>
      <c r="H394" s="174"/>
      <c r="I394" s="174"/>
      <c r="J394" s="174"/>
      <c r="K394" s="177"/>
      <c r="L394" s="99"/>
      <c r="M394" s="99"/>
      <c r="N394" s="99"/>
      <c r="O394" s="99"/>
    </row>
    <row r="395" spans="2:15">
      <c r="B395" s="173"/>
      <c r="C395" s="174" t="str">
        <f>IFERROR(VLOOKUP(D395,Tabela2[[Descrição]:[ID. Risco]],2,FALSE),"")</f>
        <v/>
      </c>
      <c r="D395" s="174"/>
      <c r="E395" s="174"/>
      <c r="F395" s="178"/>
      <c r="G395" s="174"/>
      <c r="H395" s="174"/>
      <c r="I395" s="174"/>
      <c r="J395" s="174"/>
      <c r="K395" s="177"/>
      <c r="L395" s="99"/>
      <c r="M395" s="99"/>
      <c r="N395" s="99"/>
      <c r="O395" s="99"/>
    </row>
    <row r="396" spans="2:15">
      <c r="B396" s="173"/>
      <c r="C396" s="174" t="str">
        <f>IFERROR(VLOOKUP(D396,Tabela2[[Descrição]:[ID. Risco]],2,FALSE),"")</f>
        <v/>
      </c>
      <c r="D396" s="174"/>
      <c r="E396" s="174"/>
      <c r="F396" s="178"/>
      <c r="G396" s="174"/>
      <c r="H396" s="174"/>
      <c r="I396" s="174"/>
      <c r="J396" s="174"/>
      <c r="K396" s="177"/>
      <c r="L396" s="99"/>
      <c r="M396" s="99"/>
      <c r="N396" s="99"/>
      <c r="O396" s="99"/>
    </row>
    <row r="397" spans="2:15">
      <c r="B397" s="173"/>
      <c r="C397" s="174" t="str">
        <f>IFERROR(VLOOKUP(D397,Tabela2[[Descrição]:[ID. Risco]],2,FALSE),"")</f>
        <v/>
      </c>
      <c r="D397" s="174"/>
      <c r="E397" s="174"/>
      <c r="F397" s="178"/>
      <c r="G397" s="174"/>
      <c r="H397" s="174"/>
      <c r="I397" s="174"/>
      <c r="J397" s="174"/>
      <c r="K397" s="177"/>
      <c r="L397" s="99"/>
      <c r="M397" s="99"/>
      <c r="N397" s="99"/>
      <c r="O397" s="99"/>
    </row>
    <row r="398" spans="2:15">
      <c r="B398" s="173"/>
      <c r="C398" s="174" t="str">
        <f>IFERROR(VLOOKUP(D398,Tabela2[[Descrição]:[ID. Risco]],2,FALSE),"")</f>
        <v/>
      </c>
      <c r="D398" s="174"/>
      <c r="E398" s="174"/>
      <c r="F398" s="178"/>
      <c r="G398" s="174"/>
      <c r="H398" s="174"/>
      <c r="I398" s="174"/>
      <c r="J398" s="174"/>
      <c r="K398" s="177"/>
      <c r="L398" s="99"/>
      <c r="M398" s="99"/>
      <c r="N398" s="99"/>
      <c r="O398" s="99"/>
    </row>
    <row r="399" spans="2:15">
      <c r="B399" s="173"/>
      <c r="C399" s="174" t="str">
        <f>IFERROR(VLOOKUP(D399,Tabela2[[Descrição]:[ID. Risco]],2,FALSE),"")</f>
        <v/>
      </c>
      <c r="D399" s="174"/>
      <c r="E399" s="174"/>
      <c r="F399" s="178"/>
      <c r="G399" s="174"/>
      <c r="H399" s="174"/>
      <c r="I399" s="174"/>
      <c r="J399" s="174"/>
      <c r="K399" s="177"/>
      <c r="L399" s="99"/>
      <c r="M399" s="99"/>
      <c r="N399" s="99"/>
      <c r="O399" s="99"/>
    </row>
  </sheetData>
  <mergeCells count="2">
    <mergeCell ref="B2:K2"/>
    <mergeCell ref="L2:O2"/>
  </mergeCells>
  <phoneticPr fontId="9" type="noConversion"/>
  <dataValidations count="2">
    <dataValidation type="list" allowBlank="1" showInputMessage="1" showErrorMessage="1" sqref="I4:I399" xr:uid="{0D50FD3C-38D6-48BD-8A33-A9FD027D0468}">
      <formula1>"não iniciado,iniciado,a decorrer, em finalização,fechado,"</formula1>
    </dataValidation>
    <dataValidation allowBlank="1" showErrorMessage="1" sqref="L4:O399" xr:uid="{4FF4C37B-5EC5-46E9-BBF8-E2BADCC89E39}"/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0442D88-9012-4C6B-851F-9B8115FD45A3}">
          <x14:formula1>
            <xm:f>'04.Lista Riscos,Classificação'!$C$4:$C$60</xm:f>
          </x14:formula1>
          <xm:sqref>D4:D10</xm:sqref>
        </x14:dataValidation>
        <x14:dataValidation type="list" allowBlank="1" showInputMessage="1" showErrorMessage="1" xr:uid="{2B065FBE-5DEA-4F5B-BB74-11232C817C66}">
          <x14:formula1>
            <xm:f>'03.Inventário de Ativos'!$D$5:$D$99</xm:f>
          </x14:formula1>
          <xm:sqref>B4:B14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lha4"/>
  <dimension ref="A1:I195"/>
  <sheetViews>
    <sheetView workbookViewId="0">
      <selection activeCell="A6" sqref="A6"/>
    </sheetView>
  </sheetViews>
  <sheetFormatPr defaultRowHeight="14.4"/>
  <cols>
    <col min="1" max="1" width="17" bestFit="1" customWidth="1"/>
    <col min="2" max="2" width="17.44140625" customWidth="1"/>
    <col min="3" max="3" width="46.44140625" customWidth="1"/>
    <col min="4" max="4" width="29.109375" customWidth="1"/>
    <col min="5" max="5" width="33.88671875" customWidth="1"/>
    <col min="6" max="6" width="19.88671875" customWidth="1"/>
    <col min="7" max="7" width="41.109375" bestFit="1" customWidth="1"/>
    <col min="8" max="8" width="21.5546875" bestFit="1" customWidth="1"/>
    <col min="9" max="9" width="11.88671875" bestFit="1" customWidth="1"/>
  </cols>
  <sheetData>
    <row r="1" spans="1:8" s="2" customFormat="1" ht="13.8">
      <c r="A1" s="1" t="s">
        <v>349</v>
      </c>
      <c r="B1" s="1" t="s">
        <v>350</v>
      </c>
      <c r="C1" s="1" t="s">
        <v>351</v>
      </c>
      <c r="D1" s="1" t="s">
        <v>352</v>
      </c>
      <c r="E1" s="1" t="s">
        <v>353</v>
      </c>
      <c r="F1" s="1" t="s">
        <v>354</v>
      </c>
      <c r="G1" s="1" t="s">
        <v>355</v>
      </c>
      <c r="H1" s="1" t="s">
        <v>356</v>
      </c>
    </row>
    <row r="2" spans="1:8" s="5" customFormat="1" ht="15.75" customHeight="1">
      <c r="A2" s="3" t="s">
        <v>357</v>
      </c>
      <c r="B2" s="3" t="s">
        <v>358</v>
      </c>
      <c r="C2" s="4" t="s">
        <v>359</v>
      </c>
      <c r="D2" s="5" t="s">
        <v>360</v>
      </c>
      <c r="E2" s="14" t="s">
        <v>361</v>
      </c>
      <c r="F2" s="5" t="s">
        <v>362</v>
      </c>
      <c r="G2" s="5" t="s">
        <v>363</v>
      </c>
      <c r="H2" s="5" t="s">
        <v>364</v>
      </c>
    </row>
    <row r="3" spans="1:8" s="5" customFormat="1" ht="15.75" customHeight="1">
      <c r="A3" s="3" t="s">
        <v>365</v>
      </c>
      <c r="B3" s="3" t="s">
        <v>366</v>
      </c>
      <c r="C3" s="4" t="s">
        <v>367</v>
      </c>
      <c r="D3" s="5" t="s">
        <v>368</v>
      </c>
      <c r="E3" s="14" t="s">
        <v>369</v>
      </c>
      <c r="F3" s="5" t="s">
        <v>363</v>
      </c>
      <c r="G3" s="5" t="s">
        <v>362</v>
      </c>
      <c r="H3" s="5" t="s">
        <v>370</v>
      </c>
    </row>
    <row r="4" spans="1:8" s="5" customFormat="1" ht="15.75" customHeight="1">
      <c r="A4" s="3" t="s">
        <v>371</v>
      </c>
      <c r="B4" s="3"/>
      <c r="C4" s="4" t="s">
        <v>372</v>
      </c>
      <c r="E4" s="5" t="s">
        <v>373</v>
      </c>
      <c r="F4" s="5" t="s">
        <v>374</v>
      </c>
      <c r="G4" s="5" t="s">
        <v>375</v>
      </c>
    </row>
    <row r="5" spans="1:8" s="5" customFormat="1" ht="15.75" customHeight="1">
      <c r="A5" s="3" t="s">
        <v>376</v>
      </c>
      <c r="B5" s="3"/>
      <c r="C5" s="4" t="s">
        <v>377</v>
      </c>
      <c r="E5" s="5" t="s">
        <v>378</v>
      </c>
    </row>
    <row r="6" spans="1:8" s="5" customFormat="1" ht="15.75" customHeight="1">
      <c r="A6" s="3"/>
      <c r="B6" s="3"/>
      <c r="C6" s="4" t="s">
        <v>379</v>
      </c>
      <c r="E6" s="5" t="s">
        <v>380</v>
      </c>
    </row>
    <row r="7" spans="1:8" s="5" customFormat="1" ht="15.75" customHeight="1">
      <c r="A7" s="3"/>
      <c r="B7" s="3"/>
      <c r="C7" s="4" t="s">
        <v>381</v>
      </c>
      <c r="E7" s="5" t="s">
        <v>382</v>
      </c>
    </row>
    <row r="8" spans="1:8" s="5" customFormat="1" ht="15.75" customHeight="1">
      <c r="A8" s="3"/>
      <c r="B8" s="3"/>
      <c r="C8" s="4" t="s">
        <v>383</v>
      </c>
      <c r="E8" s="5" t="s">
        <v>384</v>
      </c>
    </row>
    <row r="9" spans="1:8" s="5" customFormat="1" ht="15.75" customHeight="1">
      <c r="A9" s="3"/>
      <c r="B9" s="3"/>
      <c r="C9" s="4" t="s">
        <v>385</v>
      </c>
      <c r="E9" s="16"/>
    </row>
    <row r="10" spans="1:8" ht="15.75" customHeight="1">
      <c r="A10" s="3"/>
      <c r="B10" s="3"/>
      <c r="C10" s="4" t="s">
        <v>386</v>
      </c>
      <c r="E10" s="5"/>
    </row>
    <row r="11" spans="1:8" ht="15.75" customHeight="1">
      <c r="A11" s="3"/>
      <c r="B11" s="3"/>
      <c r="C11" s="4" t="s">
        <v>387</v>
      </c>
    </row>
    <row r="12" spans="1:8" ht="15.75" customHeight="1">
      <c r="A12" s="3"/>
      <c r="B12" s="3"/>
      <c r="C12" s="4" t="s">
        <v>388</v>
      </c>
    </row>
    <row r="13" spans="1:8" ht="15.75" customHeight="1">
      <c r="A13" s="3"/>
      <c r="B13" s="3"/>
      <c r="C13" s="15" t="s">
        <v>389</v>
      </c>
    </row>
    <row r="14" spans="1:8" ht="15.75" customHeight="1">
      <c r="A14" s="3"/>
      <c r="B14" s="3"/>
      <c r="C14" s="15" t="s">
        <v>390</v>
      </c>
    </row>
    <row r="15" spans="1:8" ht="15.75" customHeight="1">
      <c r="C15" s="15" t="s">
        <v>391</v>
      </c>
    </row>
    <row r="16" spans="1:8" ht="15.75" customHeight="1">
      <c r="C16" s="15" t="s">
        <v>392</v>
      </c>
    </row>
    <row r="17" spans="1:9" ht="15.75" customHeight="1">
      <c r="C17" s="15" t="s">
        <v>393</v>
      </c>
    </row>
    <row r="18" spans="1:9" ht="15.75" customHeight="1">
      <c r="C18" s="15" t="s">
        <v>394</v>
      </c>
    </row>
    <row r="19" spans="1:9" ht="15.75" customHeight="1">
      <c r="C19" s="15" t="s">
        <v>395</v>
      </c>
    </row>
    <row r="20" spans="1:9" ht="15.75" customHeight="1">
      <c r="C20" s="4"/>
    </row>
    <row r="21" spans="1:9" ht="15.75" customHeight="1"/>
    <row r="22" spans="1:9" ht="15.75" customHeight="1"/>
    <row r="23" spans="1:9">
      <c r="A23" s="5"/>
      <c r="B23" s="5"/>
    </row>
    <row r="25" spans="1:9" ht="15.75" customHeight="1">
      <c r="C25" s="4"/>
    </row>
    <row r="26" spans="1:9" ht="15.75" customHeight="1"/>
    <row r="27" spans="1:9" ht="15.75" customHeight="1"/>
    <row r="28" spans="1:9">
      <c r="A28" s="5"/>
      <c r="B28" s="5"/>
    </row>
    <row r="30" spans="1:9" s="5" customFormat="1" ht="12"/>
    <row r="31" spans="1:9" s="5" customFormat="1" ht="15" thickBot="1">
      <c r="C31" s="6" t="s">
        <v>396</v>
      </c>
      <c r="D31" s="6" t="s">
        <v>397</v>
      </c>
      <c r="E31" s="6" t="s">
        <v>398</v>
      </c>
      <c r="F31" s="1" t="s">
        <v>399</v>
      </c>
      <c r="G31" s="1" t="s">
        <v>400</v>
      </c>
      <c r="H31" s="1" t="s">
        <v>401</v>
      </c>
      <c r="I31" s="1" t="s">
        <v>122</v>
      </c>
    </row>
    <row r="32" spans="1:9" s="5" customFormat="1" ht="12.6" thickBot="1">
      <c r="A32" s="8"/>
      <c r="B32" s="8"/>
      <c r="C32" s="9" t="s">
        <v>402</v>
      </c>
      <c r="D32" s="5" t="s">
        <v>403</v>
      </c>
      <c r="E32" s="5" t="s">
        <v>404</v>
      </c>
      <c r="F32" s="5" t="s">
        <v>405</v>
      </c>
      <c r="G32" s="5" t="s">
        <v>406</v>
      </c>
      <c r="H32" s="5" t="s">
        <v>407</v>
      </c>
      <c r="I32" s="5" t="s">
        <v>79</v>
      </c>
    </row>
    <row r="33" spans="1:9" s="5" customFormat="1" ht="12.6" thickBot="1">
      <c r="A33" s="8"/>
      <c r="B33" s="8"/>
      <c r="C33" s="10" t="s">
        <v>408</v>
      </c>
      <c r="D33" s="5" t="s">
        <v>409</v>
      </c>
      <c r="E33" s="5" t="s">
        <v>410</v>
      </c>
      <c r="F33" s="5" t="s">
        <v>411</v>
      </c>
      <c r="G33" s="5" t="s">
        <v>412</v>
      </c>
      <c r="H33" s="5" t="s">
        <v>413</v>
      </c>
      <c r="I33" s="5" t="s">
        <v>200</v>
      </c>
    </row>
    <row r="34" spans="1:9" s="5" customFormat="1" ht="15" thickBot="1">
      <c r="A34" s="8"/>
      <c r="B34" s="8"/>
      <c r="C34" s="11" t="s">
        <v>414</v>
      </c>
      <c r="D34" s="5" t="s">
        <v>415</v>
      </c>
      <c r="E34" s="5" t="s">
        <v>416</v>
      </c>
      <c r="F34"/>
      <c r="G34" s="5" t="s">
        <v>417</v>
      </c>
      <c r="H34" s="5" t="s">
        <v>418</v>
      </c>
      <c r="I34" s="5" t="s">
        <v>75</v>
      </c>
    </row>
    <row r="35" spans="1:9" s="5" customFormat="1" ht="15" thickBot="1">
      <c r="A35" s="8"/>
      <c r="B35" s="8"/>
      <c r="C35" s="12" t="s">
        <v>419</v>
      </c>
      <c r="D35" s="5" t="s">
        <v>420</v>
      </c>
      <c r="E35" s="5" t="s">
        <v>421</v>
      </c>
      <c r="F35"/>
      <c r="G35"/>
      <c r="H35" s="5" t="s">
        <v>374</v>
      </c>
      <c r="I35" s="5" t="s">
        <v>422</v>
      </c>
    </row>
    <row r="36" spans="1:9" s="5" customFormat="1" ht="15" thickBot="1">
      <c r="A36" s="8"/>
      <c r="B36" s="8"/>
      <c r="C36" s="12" t="s">
        <v>423</v>
      </c>
      <c r="D36"/>
      <c r="E36" s="5" t="s">
        <v>424</v>
      </c>
      <c r="F36"/>
      <c r="G36"/>
      <c r="H36"/>
    </row>
    <row r="37" spans="1:9" s="5" customFormat="1" ht="15" thickBot="1">
      <c r="A37" s="8"/>
      <c r="B37" s="8"/>
      <c r="C37" s="10" t="s">
        <v>425</v>
      </c>
      <c r="D37"/>
      <c r="F37"/>
      <c r="G37"/>
      <c r="I37"/>
    </row>
    <row r="38" spans="1:9" s="5" customFormat="1" ht="15" thickBot="1">
      <c r="A38" s="8"/>
      <c r="B38" s="8"/>
      <c r="C38" s="11" t="s">
        <v>426</v>
      </c>
      <c r="D38" s="6" t="s">
        <v>427</v>
      </c>
      <c r="E38" s="6" t="s">
        <v>428</v>
      </c>
      <c r="F38"/>
      <c r="G38"/>
      <c r="H38"/>
      <c r="I38"/>
    </row>
    <row r="39" spans="1:9" s="5" customFormat="1" ht="15" thickBot="1">
      <c r="A39" s="8"/>
      <c r="B39" s="8"/>
      <c r="C39" s="12" t="s">
        <v>429</v>
      </c>
      <c r="D39" s="7">
        <v>2018</v>
      </c>
      <c r="E39" s="5" t="s">
        <v>430</v>
      </c>
      <c r="F39"/>
      <c r="G39"/>
      <c r="H39"/>
      <c r="I39"/>
    </row>
    <row r="40" spans="1:9" s="5" customFormat="1" ht="15" thickBot="1">
      <c r="A40" s="8"/>
      <c r="B40" s="8"/>
      <c r="C40" s="12" t="s">
        <v>431</v>
      </c>
      <c r="D40" s="7">
        <v>2019</v>
      </c>
      <c r="E40" s="5" t="s">
        <v>432</v>
      </c>
      <c r="F40"/>
      <c r="G40"/>
      <c r="H40"/>
      <c r="I40"/>
    </row>
    <row r="41" spans="1:9" s="5" customFormat="1" ht="12.6" thickBot="1">
      <c r="A41" s="8"/>
      <c r="B41" s="8"/>
      <c r="C41" s="12" t="s">
        <v>433</v>
      </c>
      <c r="D41" s="7">
        <v>2020</v>
      </c>
      <c r="E41" s="5" t="s">
        <v>434</v>
      </c>
    </row>
    <row r="42" spans="1:9" s="5" customFormat="1" ht="12.6" thickBot="1">
      <c r="A42" s="8"/>
      <c r="B42" s="8"/>
      <c r="C42" s="12" t="s">
        <v>435</v>
      </c>
      <c r="D42" s="7">
        <v>2021</v>
      </c>
    </row>
    <row r="43" spans="1:9" s="5" customFormat="1" ht="12.6" thickBot="1">
      <c r="A43" s="8"/>
      <c r="B43" s="8"/>
      <c r="C43" s="12" t="s">
        <v>436</v>
      </c>
      <c r="D43" s="7">
        <v>2022</v>
      </c>
    </row>
    <row r="44" spans="1:9" s="5" customFormat="1" ht="12.6" thickBot="1">
      <c r="A44" s="8"/>
      <c r="B44" s="8"/>
      <c r="C44" s="11" t="s">
        <v>437</v>
      </c>
      <c r="D44" s="7">
        <v>2023</v>
      </c>
    </row>
    <row r="45" spans="1:9" s="5" customFormat="1" ht="12.6" thickBot="1">
      <c r="A45" s="8"/>
      <c r="B45" s="8"/>
      <c r="C45" s="12" t="s">
        <v>438</v>
      </c>
      <c r="D45" s="7">
        <v>2024</v>
      </c>
    </row>
    <row r="46" spans="1:9" s="5" customFormat="1" ht="12.6" thickBot="1">
      <c r="A46" s="8"/>
      <c r="B46" s="8"/>
      <c r="C46" s="12" t="s">
        <v>439</v>
      </c>
      <c r="D46" s="7">
        <v>2025</v>
      </c>
    </row>
    <row r="47" spans="1:9" s="5" customFormat="1" ht="12.6" thickBot="1">
      <c r="A47" s="8"/>
      <c r="B47" s="8"/>
      <c r="C47" s="10" t="s">
        <v>440</v>
      </c>
    </row>
    <row r="48" spans="1:9" s="5" customFormat="1" ht="12.6" thickBot="1">
      <c r="A48" s="8"/>
      <c r="B48" s="8"/>
      <c r="C48" s="11" t="s">
        <v>441</v>
      </c>
    </row>
    <row r="49" spans="1:3" s="5" customFormat="1" ht="12">
      <c r="A49" s="8"/>
      <c r="B49" s="8"/>
      <c r="C49" s="5" t="s">
        <v>442</v>
      </c>
    </row>
    <row r="50" spans="1:3" s="5" customFormat="1" ht="12.6" thickBot="1">
      <c r="A50" s="8"/>
      <c r="B50" s="8"/>
      <c r="C50" s="5" t="s">
        <v>443</v>
      </c>
    </row>
    <row r="51" spans="1:3" s="5" customFormat="1" ht="12.6" thickBot="1">
      <c r="A51" s="8"/>
      <c r="B51" s="8"/>
      <c r="C51" s="11" t="s">
        <v>444</v>
      </c>
    </row>
    <row r="52" spans="1:3" s="5" customFormat="1" ht="12">
      <c r="A52" s="8"/>
      <c r="B52" s="8"/>
      <c r="C52" s="5" t="s">
        <v>445</v>
      </c>
    </row>
    <row r="53" spans="1:3" s="5" customFormat="1" ht="12">
      <c r="A53" s="8"/>
      <c r="B53" s="8"/>
      <c r="C53" s="5" t="s">
        <v>446</v>
      </c>
    </row>
    <row r="54" spans="1:3" s="5" customFormat="1" ht="12.6" thickBot="1">
      <c r="A54" s="8"/>
      <c r="B54" s="8"/>
      <c r="C54" s="5" t="s">
        <v>447</v>
      </c>
    </row>
    <row r="55" spans="1:3" s="5" customFormat="1" ht="12.6" thickBot="1">
      <c r="A55" s="8"/>
      <c r="B55" s="8"/>
      <c r="C55" s="11" t="s">
        <v>448</v>
      </c>
    </row>
    <row r="56" spans="1:3" s="5" customFormat="1" ht="12.6" thickBot="1">
      <c r="A56" s="8"/>
      <c r="B56" s="8"/>
      <c r="C56" s="5" t="s">
        <v>449</v>
      </c>
    </row>
    <row r="57" spans="1:3" s="5" customFormat="1" ht="12.6" thickBot="1">
      <c r="A57" s="8"/>
      <c r="B57" s="8"/>
      <c r="C57" s="10" t="s">
        <v>450</v>
      </c>
    </row>
    <row r="58" spans="1:3" s="5" customFormat="1" ht="12.6" thickBot="1">
      <c r="A58" s="8"/>
      <c r="B58" s="8"/>
      <c r="C58" s="11" t="s">
        <v>451</v>
      </c>
    </row>
    <row r="59" spans="1:3" s="5" customFormat="1" ht="12">
      <c r="A59" s="8"/>
      <c r="B59" s="8"/>
      <c r="C59" s="5" t="s">
        <v>452</v>
      </c>
    </row>
    <row r="60" spans="1:3" s="5" customFormat="1" ht="12">
      <c r="A60" s="8"/>
      <c r="B60" s="8"/>
      <c r="C60" s="5" t="s">
        <v>453</v>
      </c>
    </row>
    <row r="61" spans="1:3" s="5" customFormat="1" ht="12">
      <c r="A61" s="8"/>
      <c r="B61" s="8"/>
      <c r="C61" s="5" t="s">
        <v>454</v>
      </c>
    </row>
    <row r="62" spans="1:3" s="5" customFormat="1" ht="12.6" thickBot="1">
      <c r="A62" s="8"/>
      <c r="B62" s="8"/>
      <c r="C62" s="5" t="s">
        <v>455</v>
      </c>
    </row>
    <row r="63" spans="1:3" s="5" customFormat="1" ht="12.6" thickBot="1">
      <c r="A63" s="8"/>
      <c r="B63" s="8"/>
      <c r="C63" s="11" t="s">
        <v>456</v>
      </c>
    </row>
    <row r="64" spans="1:3" s="5" customFormat="1" ht="12">
      <c r="A64" s="8"/>
      <c r="B64" s="8"/>
      <c r="C64" s="5" t="s">
        <v>457</v>
      </c>
    </row>
    <row r="65" spans="1:3" s="5" customFormat="1" ht="12">
      <c r="A65" s="8"/>
      <c r="B65" s="8"/>
      <c r="C65" s="5" t="s">
        <v>458</v>
      </c>
    </row>
    <row r="66" spans="1:3" s="5" customFormat="1" ht="12.6" thickBot="1">
      <c r="A66" s="8"/>
      <c r="B66" s="8"/>
      <c r="C66" s="5" t="s">
        <v>459</v>
      </c>
    </row>
    <row r="67" spans="1:3" s="5" customFormat="1" ht="12.6" thickBot="1">
      <c r="A67" s="8"/>
      <c r="B67" s="8"/>
      <c r="C67" s="11" t="s">
        <v>460</v>
      </c>
    </row>
    <row r="68" spans="1:3" s="5" customFormat="1" ht="12">
      <c r="A68" s="8"/>
      <c r="B68" s="8"/>
      <c r="C68" s="5" t="s">
        <v>461</v>
      </c>
    </row>
    <row r="69" spans="1:3" s="5" customFormat="1" ht="12">
      <c r="A69" s="8"/>
      <c r="B69" s="8"/>
      <c r="C69" s="5" t="s">
        <v>462</v>
      </c>
    </row>
    <row r="70" spans="1:3" s="5" customFormat="1" ht="12.6" thickBot="1">
      <c r="A70" s="8"/>
      <c r="B70" s="8"/>
      <c r="C70" s="5" t="s">
        <v>463</v>
      </c>
    </row>
    <row r="71" spans="1:3" s="5" customFormat="1" ht="12.6" thickBot="1">
      <c r="A71" s="8"/>
      <c r="B71" s="8"/>
      <c r="C71" s="10" t="s">
        <v>464</v>
      </c>
    </row>
    <row r="72" spans="1:3" s="5" customFormat="1" ht="12.6" thickBot="1">
      <c r="A72" s="8"/>
      <c r="B72" s="8"/>
      <c r="C72" s="11" t="s">
        <v>465</v>
      </c>
    </row>
    <row r="73" spans="1:3" s="5" customFormat="1" ht="12">
      <c r="A73" s="8"/>
      <c r="B73" s="8"/>
      <c r="C73" s="5" t="s">
        <v>466</v>
      </c>
    </row>
    <row r="74" spans="1:3" s="5" customFormat="1" ht="12.6" thickBot="1">
      <c r="A74" s="8"/>
      <c r="B74" s="8"/>
      <c r="C74" s="5" t="s">
        <v>467</v>
      </c>
    </row>
    <row r="75" spans="1:3" s="5" customFormat="1" ht="12.6" thickBot="1">
      <c r="A75" s="8"/>
      <c r="B75" s="8"/>
      <c r="C75" s="11" t="s">
        <v>468</v>
      </c>
    </row>
    <row r="76" spans="1:3" s="5" customFormat="1" ht="12">
      <c r="A76" s="8"/>
      <c r="B76" s="8"/>
      <c r="C76" s="5" t="s">
        <v>469</v>
      </c>
    </row>
    <row r="77" spans="1:3" s="5" customFormat="1" ht="12">
      <c r="A77" s="8"/>
      <c r="B77" s="8"/>
      <c r="C77" s="5" t="s">
        <v>470</v>
      </c>
    </row>
    <row r="78" spans="1:3" s="5" customFormat="1" ht="12">
      <c r="A78" s="8"/>
      <c r="B78" s="8"/>
      <c r="C78" s="5" t="s">
        <v>471</v>
      </c>
    </row>
    <row r="79" spans="1:3" s="5" customFormat="1" ht="12">
      <c r="A79" s="8"/>
      <c r="B79" s="8"/>
      <c r="C79" s="5" t="s">
        <v>472</v>
      </c>
    </row>
    <row r="80" spans="1:3" s="5" customFormat="1" ht="12">
      <c r="A80" s="8"/>
      <c r="B80" s="8"/>
      <c r="C80" s="5" t="s">
        <v>473</v>
      </c>
    </row>
    <row r="81" spans="1:3" s="5" customFormat="1" ht="12.6" thickBot="1">
      <c r="A81" s="8"/>
      <c r="B81" s="8"/>
      <c r="C81" s="5" t="s">
        <v>474</v>
      </c>
    </row>
    <row r="82" spans="1:3" s="5" customFormat="1" ht="12.6" thickBot="1">
      <c r="A82" s="8"/>
      <c r="B82" s="8"/>
      <c r="C82" s="11" t="s">
        <v>475</v>
      </c>
    </row>
    <row r="83" spans="1:3" s="5" customFormat="1" ht="12.6" thickBot="1">
      <c r="A83" s="8"/>
      <c r="B83" s="8"/>
      <c r="C83" s="5" t="s">
        <v>476</v>
      </c>
    </row>
    <row r="84" spans="1:3" s="5" customFormat="1" ht="12.6" thickBot="1">
      <c r="A84" s="8"/>
      <c r="B84" s="8"/>
      <c r="C84" s="11" t="s">
        <v>477</v>
      </c>
    </row>
    <row r="85" spans="1:3" s="5" customFormat="1" ht="12">
      <c r="A85" s="8"/>
      <c r="B85" s="8"/>
      <c r="C85" s="5" t="s">
        <v>478</v>
      </c>
    </row>
    <row r="86" spans="1:3" s="5" customFormat="1" ht="12">
      <c r="A86" s="8"/>
      <c r="B86" s="8"/>
      <c r="C86" s="5" t="s">
        <v>479</v>
      </c>
    </row>
    <row r="87" spans="1:3" s="5" customFormat="1" ht="12">
      <c r="A87" s="8"/>
      <c r="B87" s="8"/>
      <c r="C87" s="5" t="s">
        <v>480</v>
      </c>
    </row>
    <row r="88" spans="1:3" s="5" customFormat="1" ht="12">
      <c r="A88" s="8"/>
      <c r="B88" s="8"/>
      <c r="C88" s="5" t="s">
        <v>481</v>
      </c>
    </row>
    <row r="89" spans="1:3" s="5" customFormat="1" ht="12.6" thickBot="1">
      <c r="A89" s="8"/>
      <c r="B89" s="8"/>
      <c r="C89" s="5" t="s">
        <v>482</v>
      </c>
    </row>
    <row r="90" spans="1:3" s="5" customFormat="1" ht="12.6" thickBot="1">
      <c r="A90" s="8"/>
      <c r="B90" s="8"/>
      <c r="C90" s="10" t="s">
        <v>483</v>
      </c>
    </row>
    <row r="91" spans="1:3" s="5" customFormat="1" ht="12.6" thickBot="1">
      <c r="A91" s="8"/>
      <c r="B91" s="8"/>
      <c r="C91" s="11" t="s">
        <v>484</v>
      </c>
    </row>
    <row r="92" spans="1:3" s="5" customFormat="1" ht="12">
      <c r="A92" s="8"/>
      <c r="B92" s="8"/>
      <c r="C92" s="5" t="s">
        <v>485</v>
      </c>
    </row>
    <row r="93" spans="1:3" s="5" customFormat="1" ht="12.6" thickBot="1">
      <c r="A93" s="8"/>
      <c r="B93" s="8"/>
      <c r="C93" s="5" t="s">
        <v>486</v>
      </c>
    </row>
    <row r="94" spans="1:3" s="5" customFormat="1" ht="12.6" thickBot="1">
      <c r="A94" s="8"/>
      <c r="B94" s="8"/>
      <c r="C94" s="10" t="s">
        <v>487</v>
      </c>
    </row>
    <row r="95" spans="1:3" s="5" customFormat="1" ht="12.6" thickBot="1">
      <c r="A95" s="8"/>
      <c r="B95" s="8"/>
      <c r="C95" s="11" t="s">
        <v>488</v>
      </c>
    </row>
    <row r="96" spans="1:3" s="5" customFormat="1" ht="12">
      <c r="A96" s="8"/>
      <c r="B96" s="8"/>
      <c r="C96" s="5" t="s">
        <v>489</v>
      </c>
    </row>
    <row r="97" spans="1:3" s="5" customFormat="1" ht="12">
      <c r="A97" s="8"/>
      <c r="B97" s="8"/>
      <c r="C97" s="5" t="s">
        <v>490</v>
      </c>
    </row>
    <row r="98" spans="1:3" s="5" customFormat="1" ht="12">
      <c r="A98" s="8"/>
      <c r="B98" s="8"/>
      <c r="C98" s="5" t="s">
        <v>491</v>
      </c>
    </row>
    <row r="99" spans="1:3" s="5" customFormat="1" ht="12">
      <c r="A99" s="8"/>
      <c r="B99" s="8"/>
      <c r="C99" s="5" t="s">
        <v>492</v>
      </c>
    </row>
    <row r="100" spans="1:3" s="5" customFormat="1" ht="12">
      <c r="A100" s="8"/>
      <c r="B100" s="8"/>
      <c r="C100" s="5" t="s">
        <v>493</v>
      </c>
    </row>
    <row r="101" spans="1:3" s="5" customFormat="1" ht="12.6" thickBot="1">
      <c r="A101" s="8"/>
      <c r="B101" s="8"/>
      <c r="C101" s="5" t="s">
        <v>494</v>
      </c>
    </row>
    <row r="102" spans="1:3" s="5" customFormat="1" ht="12.6" thickBot="1">
      <c r="A102" s="8"/>
      <c r="B102" s="8"/>
      <c r="C102" s="11" t="s">
        <v>495</v>
      </c>
    </row>
    <row r="103" spans="1:3" s="5" customFormat="1" ht="12">
      <c r="A103" s="8"/>
      <c r="B103" s="8"/>
      <c r="C103" s="5" t="s">
        <v>496</v>
      </c>
    </row>
    <row r="104" spans="1:3" s="5" customFormat="1" ht="12">
      <c r="A104" s="8"/>
      <c r="B104" s="8"/>
      <c r="C104" s="5" t="s">
        <v>497</v>
      </c>
    </row>
    <row r="105" spans="1:3" s="5" customFormat="1" ht="12">
      <c r="A105" s="8"/>
      <c r="B105" s="8"/>
      <c r="C105" s="5" t="s">
        <v>498</v>
      </c>
    </row>
    <row r="106" spans="1:3" s="5" customFormat="1" ht="12">
      <c r="A106" s="8"/>
      <c r="B106" s="8"/>
      <c r="C106" s="5" t="s">
        <v>499</v>
      </c>
    </row>
    <row r="107" spans="1:3" s="5" customFormat="1" ht="12">
      <c r="A107" s="8"/>
      <c r="B107" s="8"/>
      <c r="C107" s="13" t="s">
        <v>500</v>
      </c>
    </row>
    <row r="108" spans="1:3" s="5" customFormat="1" ht="12">
      <c r="A108" s="8"/>
      <c r="B108" s="8"/>
      <c r="C108" s="13" t="s">
        <v>501</v>
      </c>
    </row>
    <row r="109" spans="1:3" s="5" customFormat="1" ht="12">
      <c r="A109" s="8"/>
      <c r="B109" s="8"/>
      <c r="C109" s="13" t="s">
        <v>502</v>
      </c>
    </row>
    <row r="110" spans="1:3" s="5" customFormat="1" ht="12">
      <c r="A110" s="8"/>
      <c r="B110" s="8"/>
      <c r="C110" s="13" t="s">
        <v>503</v>
      </c>
    </row>
    <row r="111" spans="1:3" s="5" customFormat="1" ht="12.6" thickBot="1">
      <c r="A111" s="8"/>
      <c r="B111" s="8"/>
      <c r="C111" s="5" t="s">
        <v>504</v>
      </c>
    </row>
    <row r="112" spans="1:3" s="5" customFormat="1" ht="12.6" thickBot="1">
      <c r="A112" s="8"/>
      <c r="B112" s="8"/>
      <c r="C112" s="10" t="s">
        <v>505</v>
      </c>
    </row>
    <row r="113" spans="1:3" s="5" customFormat="1" ht="12.6" thickBot="1">
      <c r="A113" s="8"/>
      <c r="B113" s="8"/>
      <c r="C113" s="11" t="s">
        <v>506</v>
      </c>
    </row>
    <row r="114" spans="1:3" s="5" customFormat="1" ht="12">
      <c r="A114" s="8"/>
      <c r="B114" s="8"/>
      <c r="C114" s="5" t="s">
        <v>507</v>
      </c>
    </row>
    <row r="115" spans="1:3" s="5" customFormat="1" ht="12">
      <c r="A115" s="8"/>
      <c r="B115" s="8"/>
      <c r="C115" s="5" t="s">
        <v>508</v>
      </c>
    </row>
    <row r="116" spans="1:3" s="5" customFormat="1" ht="12">
      <c r="A116" s="8"/>
      <c r="B116" s="8"/>
      <c r="C116" s="5" t="s">
        <v>509</v>
      </c>
    </row>
    <row r="117" spans="1:3" s="5" customFormat="1" ht="12.6" thickBot="1">
      <c r="A117" s="8"/>
      <c r="B117" s="8"/>
      <c r="C117" s="5" t="s">
        <v>510</v>
      </c>
    </row>
    <row r="118" spans="1:3" s="5" customFormat="1" ht="12.6" thickBot="1">
      <c r="A118" s="8"/>
      <c r="B118" s="8"/>
      <c r="C118" s="11" t="s">
        <v>511</v>
      </c>
    </row>
    <row r="119" spans="1:3" s="5" customFormat="1" ht="12.6" thickBot="1">
      <c r="A119" s="8"/>
      <c r="B119" s="8"/>
      <c r="C119" s="5" t="s">
        <v>512</v>
      </c>
    </row>
    <row r="120" spans="1:3" s="5" customFormat="1" ht="12.6" thickBot="1">
      <c r="A120" s="8"/>
      <c r="B120" s="8"/>
      <c r="C120" s="11" t="s">
        <v>513</v>
      </c>
    </row>
    <row r="121" spans="1:3" s="5" customFormat="1" ht="12.6" thickBot="1">
      <c r="A121" s="8"/>
      <c r="B121" s="8"/>
      <c r="C121" s="5" t="s">
        <v>514</v>
      </c>
    </row>
    <row r="122" spans="1:3" s="5" customFormat="1" ht="12.6" thickBot="1">
      <c r="A122" s="8"/>
      <c r="B122" s="8"/>
      <c r="C122" s="11" t="s">
        <v>515</v>
      </c>
    </row>
    <row r="123" spans="1:3" s="5" customFormat="1" ht="12">
      <c r="A123" s="8"/>
      <c r="B123" s="8"/>
      <c r="C123" s="5" t="s">
        <v>516</v>
      </c>
    </row>
    <row r="124" spans="1:3" s="5" customFormat="1" ht="12">
      <c r="A124" s="8"/>
      <c r="B124" s="8"/>
      <c r="C124" s="5" t="s">
        <v>517</v>
      </c>
    </row>
    <row r="125" spans="1:3" s="5" customFormat="1" ht="12">
      <c r="A125" s="8"/>
      <c r="B125" s="8"/>
      <c r="C125" s="5" t="s">
        <v>518</v>
      </c>
    </row>
    <row r="126" spans="1:3" s="5" customFormat="1" ht="12.6" thickBot="1">
      <c r="A126" s="8"/>
      <c r="B126" s="8"/>
      <c r="C126" s="5" t="s">
        <v>519</v>
      </c>
    </row>
    <row r="127" spans="1:3" s="5" customFormat="1" ht="12.6" thickBot="1">
      <c r="A127" s="8"/>
      <c r="B127" s="8"/>
      <c r="C127" s="11" t="s">
        <v>520</v>
      </c>
    </row>
    <row r="128" spans="1:3" s="5" customFormat="1" ht="12.6" thickBot="1">
      <c r="A128" s="8"/>
      <c r="B128" s="8"/>
      <c r="C128" s="5" t="s">
        <v>521</v>
      </c>
    </row>
    <row r="129" spans="1:3" s="5" customFormat="1" ht="12.6" thickBot="1">
      <c r="A129" s="8"/>
      <c r="B129" s="8"/>
      <c r="C129" s="11" t="s">
        <v>522</v>
      </c>
    </row>
    <row r="130" spans="1:3" s="5" customFormat="1" ht="12">
      <c r="A130" s="8"/>
      <c r="B130" s="8"/>
      <c r="C130" s="5" t="s">
        <v>523</v>
      </c>
    </row>
    <row r="131" spans="1:3" s="5" customFormat="1" ht="12.6" thickBot="1">
      <c r="A131" s="8"/>
      <c r="B131" s="8"/>
      <c r="C131" s="5" t="s">
        <v>524</v>
      </c>
    </row>
    <row r="132" spans="1:3" s="5" customFormat="1" ht="12.6" thickBot="1">
      <c r="A132" s="8"/>
      <c r="B132" s="8"/>
      <c r="C132" s="11" t="s">
        <v>525</v>
      </c>
    </row>
    <row r="133" spans="1:3" s="5" customFormat="1" ht="12.6" thickBot="1">
      <c r="A133" s="8"/>
      <c r="B133" s="8"/>
      <c r="C133" s="5" t="s">
        <v>526</v>
      </c>
    </row>
    <row r="134" spans="1:3" s="5" customFormat="1" ht="12.6" thickBot="1">
      <c r="A134" s="8"/>
      <c r="B134" s="8"/>
      <c r="C134" s="10" t="s">
        <v>527</v>
      </c>
    </row>
    <row r="135" spans="1:3" s="5" customFormat="1" ht="12.6" thickBot="1">
      <c r="A135" s="8"/>
      <c r="B135" s="8"/>
      <c r="C135" s="11" t="s">
        <v>528</v>
      </c>
    </row>
    <row r="136" spans="1:3" s="5" customFormat="1" ht="12">
      <c r="A136" s="8"/>
      <c r="B136" s="8"/>
      <c r="C136" s="5" t="s">
        <v>529</v>
      </c>
    </row>
    <row r="137" spans="1:3" s="5" customFormat="1" ht="12">
      <c r="A137" s="8"/>
      <c r="B137" s="8"/>
      <c r="C137" s="5" t="s">
        <v>530</v>
      </c>
    </row>
    <row r="138" spans="1:3" s="5" customFormat="1" ht="12.6" thickBot="1">
      <c r="A138" s="8"/>
      <c r="B138" s="8"/>
      <c r="C138" s="5" t="s">
        <v>531</v>
      </c>
    </row>
    <row r="139" spans="1:3" s="5" customFormat="1" ht="12.6" thickBot="1">
      <c r="A139" s="8"/>
      <c r="B139" s="8"/>
      <c r="C139" s="11" t="s">
        <v>532</v>
      </c>
    </row>
    <row r="140" spans="1:3" s="5" customFormat="1" ht="12">
      <c r="A140" s="8"/>
      <c r="B140" s="8"/>
      <c r="C140" s="5" t="s">
        <v>533</v>
      </c>
    </row>
    <row r="141" spans="1:3" s="5" customFormat="1" ht="12">
      <c r="A141" s="8"/>
      <c r="B141" s="8"/>
      <c r="C141" s="5" t="s">
        <v>534</v>
      </c>
    </row>
    <row r="142" spans="1:3" s="5" customFormat="1" ht="12">
      <c r="A142" s="8"/>
      <c r="B142" s="8"/>
      <c r="C142" s="5" t="s">
        <v>535</v>
      </c>
    </row>
    <row r="143" spans="1:3" s="5" customFormat="1" ht="12.6" thickBot="1">
      <c r="A143" s="8"/>
      <c r="B143" s="8"/>
      <c r="C143" s="5" t="s">
        <v>536</v>
      </c>
    </row>
    <row r="144" spans="1:3" s="5" customFormat="1" ht="12.6" thickBot="1">
      <c r="A144" s="8"/>
      <c r="B144" s="8"/>
      <c r="C144" s="10" t="s">
        <v>537</v>
      </c>
    </row>
    <row r="145" spans="1:3" s="5" customFormat="1" ht="12.6" thickBot="1">
      <c r="A145" s="8"/>
      <c r="B145" s="8"/>
      <c r="C145" s="11" t="s">
        <v>538</v>
      </c>
    </row>
    <row r="146" spans="1:3" s="5" customFormat="1" ht="12">
      <c r="A146" s="8"/>
      <c r="B146" s="8"/>
      <c r="C146" s="5" t="s">
        <v>539</v>
      </c>
    </row>
    <row r="147" spans="1:3" s="5" customFormat="1" ht="12">
      <c r="A147" s="8"/>
      <c r="B147" s="8"/>
      <c r="C147" s="5" t="s">
        <v>540</v>
      </c>
    </row>
    <row r="148" spans="1:3" s="5" customFormat="1" ht="12.6" thickBot="1">
      <c r="A148" s="8"/>
      <c r="B148" s="8"/>
      <c r="C148" s="5" t="s">
        <v>541</v>
      </c>
    </row>
    <row r="149" spans="1:3" s="5" customFormat="1" ht="12.6" thickBot="1">
      <c r="A149" s="8"/>
      <c r="B149" s="8"/>
      <c r="C149" s="11" t="s">
        <v>542</v>
      </c>
    </row>
    <row r="150" spans="1:3" s="5" customFormat="1" ht="12">
      <c r="A150" s="8"/>
      <c r="B150" s="8"/>
      <c r="C150" s="5" t="s">
        <v>543</v>
      </c>
    </row>
    <row r="151" spans="1:3" s="5" customFormat="1" ht="12">
      <c r="A151" s="8"/>
      <c r="B151" s="8"/>
      <c r="C151" s="5" t="s">
        <v>544</v>
      </c>
    </row>
    <row r="152" spans="1:3" s="5" customFormat="1" ht="12">
      <c r="A152" s="8"/>
      <c r="B152" s="8"/>
      <c r="C152" s="5" t="s">
        <v>545</v>
      </c>
    </row>
    <row r="153" spans="1:3" s="5" customFormat="1" ht="12">
      <c r="C153" s="5" t="s">
        <v>546</v>
      </c>
    </row>
    <row r="154" spans="1:3" s="5" customFormat="1" ht="12">
      <c r="C154" s="5" t="s">
        <v>547</v>
      </c>
    </row>
    <row r="155" spans="1:3" s="5" customFormat="1" ht="12">
      <c r="C155" s="5" t="s">
        <v>548</v>
      </c>
    </row>
    <row r="156" spans="1:3" s="5" customFormat="1" ht="12">
      <c r="C156" s="5" t="s">
        <v>549</v>
      </c>
    </row>
    <row r="157" spans="1:3" s="5" customFormat="1" ht="12">
      <c r="C157" s="5" t="s">
        <v>550</v>
      </c>
    </row>
    <row r="158" spans="1:3" s="5" customFormat="1" ht="12.6" thickBot="1">
      <c r="C158" s="5" t="s">
        <v>551</v>
      </c>
    </row>
    <row r="159" spans="1:3" s="5" customFormat="1" ht="12.6" thickBot="1">
      <c r="C159" s="11" t="s">
        <v>552</v>
      </c>
    </row>
    <row r="160" spans="1:3" s="5" customFormat="1" ht="12.6" thickBot="1">
      <c r="A160" s="8"/>
      <c r="B160" s="8"/>
      <c r="C160" s="5" t="s">
        <v>553</v>
      </c>
    </row>
    <row r="161" spans="1:3" s="5" customFormat="1" ht="12.6" thickBot="1">
      <c r="A161" s="8"/>
      <c r="B161" s="8"/>
      <c r="C161" s="10" t="s">
        <v>554</v>
      </c>
    </row>
    <row r="162" spans="1:3" s="5" customFormat="1" ht="12.6" thickBot="1">
      <c r="A162" s="8"/>
      <c r="B162" s="8"/>
      <c r="C162" s="11" t="s">
        <v>555</v>
      </c>
    </row>
    <row r="163" spans="1:3" s="5" customFormat="1" ht="12">
      <c r="A163" s="8"/>
      <c r="B163" s="8"/>
      <c r="C163" s="5" t="s">
        <v>556</v>
      </c>
    </row>
    <row r="164" spans="1:3" s="5" customFormat="1" ht="12">
      <c r="A164" s="8"/>
      <c r="B164" s="8"/>
      <c r="C164" s="5" t="s">
        <v>557</v>
      </c>
    </row>
    <row r="165" spans="1:3" s="5" customFormat="1" ht="12.6" thickBot="1">
      <c r="A165" s="8"/>
      <c r="B165" s="8"/>
      <c r="C165" s="5" t="s">
        <v>558</v>
      </c>
    </row>
    <row r="166" spans="1:3" s="5" customFormat="1" ht="12.6" thickBot="1">
      <c r="A166" s="8"/>
      <c r="B166" s="8"/>
      <c r="C166" s="11" t="s">
        <v>559</v>
      </c>
    </row>
    <row r="167" spans="1:3" s="5" customFormat="1" ht="12">
      <c r="A167" s="8"/>
      <c r="B167" s="8"/>
      <c r="C167" s="5" t="s">
        <v>560</v>
      </c>
    </row>
    <row r="168" spans="1:3" s="5" customFormat="1" ht="12.6" thickBot="1">
      <c r="A168" s="8"/>
      <c r="B168" s="8"/>
      <c r="C168" s="5" t="s">
        <v>561</v>
      </c>
    </row>
    <row r="169" spans="1:3" s="5" customFormat="1" ht="12.6" thickBot="1">
      <c r="A169" s="8"/>
      <c r="B169" s="8"/>
      <c r="C169" s="10" t="s">
        <v>562</v>
      </c>
    </row>
    <row r="170" spans="1:3" s="5" customFormat="1" ht="12.6" thickBot="1">
      <c r="A170" s="8"/>
      <c r="B170" s="8"/>
      <c r="C170" s="11" t="s">
        <v>563</v>
      </c>
    </row>
    <row r="171" spans="1:3" s="5" customFormat="1" ht="12">
      <c r="A171" s="8"/>
      <c r="B171" s="8"/>
      <c r="C171" s="5" t="s">
        <v>564</v>
      </c>
    </row>
    <row r="172" spans="1:3" s="5" customFormat="1" ht="12">
      <c r="A172" s="8"/>
      <c r="B172" s="8"/>
      <c r="C172" s="5" t="s">
        <v>565</v>
      </c>
    </row>
    <row r="173" spans="1:3" s="5" customFormat="1" ht="12">
      <c r="A173" s="8"/>
      <c r="B173" s="8"/>
      <c r="C173" s="5" t="s">
        <v>566</v>
      </c>
    </row>
    <row r="174" spans="1:3" s="5" customFormat="1" ht="12">
      <c r="A174" s="8"/>
      <c r="B174" s="8"/>
      <c r="C174" s="5" t="s">
        <v>567</v>
      </c>
    </row>
    <row r="175" spans="1:3" s="5" customFormat="1" ht="12">
      <c r="A175" s="8"/>
      <c r="B175" s="8"/>
      <c r="C175" s="5" t="s">
        <v>568</v>
      </c>
    </row>
    <row r="176" spans="1:3" s="5" customFormat="1" ht="12">
      <c r="A176" s="8"/>
      <c r="B176" s="8"/>
      <c r="C176" s="5" t="s">
        <v>569</v>
      </c>
    </row>
    <row r="177" spans="1:3" s="5" customFormat="1" ht="12.6" thickBot="1">
      <c r="A177" s="8"/>
      <c r="B177" s="8"/>
      <c r="C177" s="5" t="s">
        <v>570</v>
      </c>
    </row>
    <row r="178" spans="1:3" s="5" customFormat="1" ht="12.6" thickBot="1">
      <c r="A178" s="8"/>
      <c r="B178" s="8"/>
      <c r="C178" s="10" t="s">
        <v>571</v>
      </c>
    </row>
    <row r="179" spans="1:3" s="5" customFormat="1" ht="12.6" thickBot="1">
      <c r="A179" s="8"/>
      <c r="B179" s="8"/>
      <c r="C179" s="11" t="s">
        <v>572</v>
      </c>
    </row>
    <row r="180" spans="1:3" s="5" customFormat="1" ht="12">
      <c r="A180" s="8"/>
      <c r="B180" s="8"/>
      <c r="C180" s="5" t="s">
        <v>573</v>
      </c>
    </row>
    <row r="181" spans="1:3" s="5" customFormat="1" ht="12">
      <c r="A181" s="8"/>
      <c r="B181" s="8"/>
      <c r="C181" s="5" t="s">
        <v>574</v>
      </c>
    </row>
    <row r="182" spans="1:3" s="5" customFormat="1" ht="12.6" thickBot="1">
      <c r="A182" s="8"/>
      <c r="B182" s="8"/>
      <c r="C182" s="5" t="s">
        <v>575</v>
      </c>
    </row>
    <row r="183" spans="1:3" s="5" customFormat="1" ht="12.6" thickBot="1">
      <c r="A183" s="8"/>
      <c r="B183" s="8"/>
      <c r="C183" s="11" t="s">
        <v>576</v>
      </c>
    </row>
    <row r="184" spans="1:3" s="5" customFormat="1" ht="12.6" thickBot="1">
      <c r="A184" s="8"/>
      <c r="B184" s="8"/>
      <c r="C184" s="5" t="s">
        <v>577</v>
      </c>
    </row>
    <row r="185" spans="1:3" s="5" customFormat="1" ht="12.6" thickBot="1">
      <c r="A185" s="8"/>
      <c r="B185" s="8"/>
      <c r="C185" s="10" t="s">
        <v>578</v>
      </c>
    </row>
    <row r="186" spans="1:3" s="5" customFormat="1" ht="12.6" thickBot="1">
      <c r="A186" s="8"/>
      <c r="B186" s="8"/>
      <c r="C186" s="11" t="s">
        <v>579</v>
      </c>
    </row>
    <row r="187" spans="1:3" s="5" customFormat="1" ht="12">
      <c r="A187" s="8"/>
      <c r="B187" s="8"/>
      <c r="C187" s="5" t="s">
        <v>580</v>
      </c>
    </row>
    <row r="188" spans="1:3" s="5" customFormat="1" ht="12">
      <c r="A188" s="8"/>
      <c r="B188" s="8"/>
      <c r="C188" s="5" t="s">
        <v>581</v>
      </c>
    </row>
    <row r="189" spans="1:3" s="5" customFormat="1" ht="12">
      <c r="A189" s="8"/>
      <c r="B189" s="8"/>
      <c r="C189" s="5" t="s">
        <v>582</v>
      </c>
    </row>
    <row r="190" spans="1:3" s="5" customFormat="1" ht="12">
      <c r="A190" s="8"/>
      <c r="B190" s="8"/>
      <c r="C190" s="5" t="s">
        <v>583</v>
      </c>
    </row>
    <row r="191" spans="1:3" s="5" customFormat="1" ht="12.6" thickBot="1">
      <c r="A191" s="8"/>
      <c r="B191" s="8"/>
      <c r="C191" s="5" t="s">
        <v>584</v>
      </c>
    </row>
    <row r="192" spans="1:3" s="5" customFormat="1" ht="12.6" thickBot="1">
      <c r="A192" s="8"/>
      <c r="B192" s="8"/>
      <c r="C192" s="11" t="s">
        <v>585</v>
      </c>
    </row>
    <row r="193" spans="1:3" s="5" customFormat="1" ht="12">
      <c r="A193" s="8"/>
      <c r="B193" s="8"/>
      <c r="C193" s="5" t="s">
        <v>586</v>
      </c>
    </row>
    <row r="194" spans="1:3" s="5" customFormat="1" ht="12">
      <c r="A194" s="8"/>
      <c r="B194" s="8"/>
      <c r="C194" s="5" t="s">
        <v>587</v>
      </c>
    </row>
    <row r="195" spans="1:3">
      <c r="C195" s="5" t="s">
        <v>588</v>
      </c>
    </row>
  </sheetData>
  <sheetProtection selectLockedCells="1" selectUnlockedCells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b683c7-4829-422d-8ca0-45c412a6bb6f">
      <Terms xmlns="http://schemas.microsoft.com/office/infopath/2007/PartnerControls"/>
    </lcf76f155ced4ddcb4097134ff3c332f>
    <TaxCatchAll xmlns="1afd5884-fe62-46d7-824f-9f059447c80d" xsi:nil="true"/>
    <Aprovado xmlns="8eb683c7-4829-422d-8ca0-45c412a6bb6f" xsi:nil="true"/>
    <ID_documento xmlns="8eb683c7-4829-422d-8ca0-45c412a6bb6f" xsi:nil="true"/>
    <Propriet_x00e1_rio xmlns="8eb683c7-4829-422d-8ca0-45c412a6bb6f" xsi:nil="true"/>
    <Aprovado_x0020_por xmlns="8eb683c7-4829-422d-8ca0-45c412a6bb6f">
      <UserInfo>
        <DisplayName/>
        <AccountId xsi:nil="true"/>
        <AccountType/>
      </UserInfo>
    </Aprovado_x0020_por>
    <Data_x0020_de_x0020_aprova_x00e7__x00e3_o xmlns="8eb683c7-4829-422d-8ca0-45c412a6bb6f" xsi:nil="true"/>
    <Subt_x00ed_tulo xmlns="8eb683c7-4829-422d-8ca0-45c412a6bb6f" xsi:nil="true"/>
    <Classifica_x00e7__x00e3_o xmlns="8eb683c7-4829-422d-8ca0-45c412a6bb6f">Uso Interno</Classifica_x00e7__x00e3_o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04C31E750985A4F8279FB701250C956" ma:contentTypeVersion="22" ma:contentTypeDescription="Criar um novo documento." ma:contentTypeScope="" ma:versionID="a4251c69752409cd7ba20f927a53e744">
  <xsd:schema xmlns:xsd="http://www.w3.org/2001/XMLSchema" xmlns:xs="http://www.w3.org/2001/XMLSchema" xmlns:p="http://schemas.microsoft.com/office/2006/metadata/properties" xmlns:ns2="8eb683c7-4829-422d-8ca0-45c412a6bb6f" xmlns:ns3="f948943b-a79f-48a7-8dcc-3f0762b30daf" xmlns:ns4="1afd5884-fe62-46d7-824f-9f059447c80d" targetNamespace="http://schemas.microsoft.com/office/2006/metadata/properties" ma:root="true" ma:fieldsID="fb78257ee58e03a63a6f7f3fa791339e" ns2:_="" ns3:_="" ns4:_="">
    <xsd:import namespace="8eb683c7-4829-422d-8ca0-45c412a6bb6f"/>
    <xsd:import namespace="f948943b-a79f-48a7-8dcc-3f0762b30daf"/>
    <xsd:import namespace="1afd5884-fe62-46d7-824f-9f059447c80d"/>
    <xsd:element name="properties">
      <xsd:complexType>
        <xsd:sequence>
          <xsd:element name="documentManagement">
            <xsd:complexType>
              <xsd:all>
                <xsd:element ref="ns2:Subt_x00ed_tulo" minOccurs="0"/>
                <xsd:element ref="ns2:ID_documento" minOccurs="0"/>
                <xsd:element ref="ns2:Propriet_x00e1_rio" minOccurs="0"/>
                <xsd:element ref="ns2:Classifica_x00e7__x00e3_o" minOccurs="0"/>
                <xsd:element ref="ns2:Data_x0020_de_x0020_aprova_x00e7__x00e3_o" minOccurs="0"/>
                <xsd:element ref="ns2:Aprovado" minOccurs="0"/>
                <xsd:element ref="ns2:Aprovado_x0020_por" minOccurs="0"/>
                <xsd:element ref="ns3:SharedWithDetails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4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b683c7-4829-422d-8ca0-45c412a6bb6f" elementFormDefault="qualified">
    <xsd:import namespace="http://schemas.microsoft.com/office/2006/documentManagement/types"/>
    <xsd:import namespace="http://schemas.microsoft.com/office/infopath/2007/PartnerControls"/>
    <xsd:element name="Subt_x00ed_tulo" ma:index="2" nillable="true" ma:displayName="Subtítulo" ma:internalName="Subt_x00ed_tulo" ma:readOnly="false">
      <xsd:simpleType>
        <xsd:restriction base="dms:Text">
          <xsd:maxLength value="255"/>
        </xsd:restriction>
      </xsd:simpleType>
    </xsd:element>
    <xsd:element name="ID_documento" ma:index="3" nillable="true" ma:displayName="ID_documento" ma:internalName="ID_documento" ma:readOnly="false">
      <xsd:simpleType>
        <xsd:restriction base="dms:Text">
          <xsd:maxLength value="255"/>
        </xsd:restriction>
      </xsd:simpleType>
    </xsd:element>
    <xsd:element name="Propriet_x00e1_rio" ma:index="4" nillable="true" ma:displayName="Proprietário" ma:internalName="Propriet_x00e1_rio" ma:readOnly="false">
      <xsd:simpleType>
        <xsd:restriction base="dms:Text">
          <xsd:maxLength value="255"/>
        </xsd:restriction>
      </xsd:simpleType>
    </xsd:element>
    <xsd:element name="Classifica_x00e7__x00e3_o" ma:index="5" nillable="true" ma:displayName="Classificação" ma:default="Uso Interno" ma:format="RadioButtons" ma:internalName="Classifica_x00e7__x00e3_o">
      <xsd:simpleType>
        <xsd:restriction base="dms:Choice">
          <xsd:enumeration value="Confidencial"/>
          <xsd:enumeration value="Restrito"/>
          <xsd:enumeration value="Uso Interno"/>
          <xsd:enumeration value="Público"/>
        </xsd:restriction>
      </xsd:simpleType>
    </xsd:element>
    <xsd:element name="Data_x0020_de_x0020_aprova_x00e7__x00e3_o" ma:index="6" nillable="true" ma:displayName="Data de aprovação" ma:format="DateOnly" ma:internalName="Data_x0020_de_x0020_aprova_x00e7__x00e3_o" ma:readOnly="false">
      <xsd:simpleType>
        <xsd:restriction base="dms:DateTime"/>
      </xsd:simpleType>
    </xsd:element>
    <xsd:element name="Aprovado" ma:index="7" nillable="true" ma:displayName="Estado" ma:format="Dropdown" ma:internalName="Aprovado">
      <xsd:simpleType>
        <xsd:restriction base="dms:Choice">
          <xsd:enumeration value="1 - Proposto"/>
          <xsd:enumeration value="2 - Em elaboração"/>
          <xsd:enumeration value="3 - Em revisão"/>
          <xsd:enumeration value="4 - Em aprovação"/>
          <xsd:enumeration value="5 - Aprovado"/>
          <xsd:enumeration value="6 - Em vigor"/>
          <xsd:enumeration value="7 - Obsoleto"/>
        </xsd:restriction>
      </xsd:simpleType>
    </xsd:element>
    <xsd:element name="Aprovado_x0020_por" ma:index="8" nillable="true" ma:displayName="Aprovado por" ma:list="UserInfo" ma:SharePointGroup="0" ma:internalName="Aprovado_x0020_p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hidden="true" ma:internalName="MediaServiceAutoTags" ma:readOnly="true">
      <xsd:simpleType>
        <xsd:restriction base="dms:Text"/>
      </xsd:simpleType>
    </xsd:element>
    <xsd:element name="MediaServiceOCR" ma:index="14" nillable="true" ma:displayName="Extracted Text" ma:hidden="true" ma:internalName="MediaServiceOCR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7" nillable="true" ma:taxonomy="true" ma:internalName="lcf76f155ced4ddcb4097134ff3c332f" ma:taxonomyFieldName="MediaServiceImageTags" ma:displayName="Etiquetas de Imagem" ma:readOnly="false" ma:fieldId="{5cf76f15-5ced-4ddc-b409-7134ff3c332f}" ma:taxonomyMulti="true" ma:sspId="32983a29-4bdb-4d3c-a5fd-1137783f552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48943b-a79f-48a7-8dcc-3f0762b30daf" elementFormDefault="qualified">
    <xsd:import namespace="http://schemas.microsoft.com/office/2006/documentManagement/types"/>
    <xsd:import namespace="http://schemas.microsoft.com/office/infopath/2007/PartnerControls"/>
    <xsd:element name="SharedWithDetails" ma:index="9" nillable="true" ma:displayName="Detalhes de Partilhado Com" ma:hidden="true" ma:internalName="SharedWithDetails" ma:readOnly="true">
      <xsd:simpleType>
        <xsd:restriction base="dms:Note"/>
      </xsd:simpleType>
    </xsd:element>
    <xsd:element name="SharedWithUsers" ma:index="23" nillable="true" ma:displayName="Partilhado Com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fd5884-fe62-46d7-824f-9f059447c80d" elementFormDefault="qualified">
    <xsd:import namespace="http://schemas.microsoft.com/office/2006/documentManagement/types"/>
    <xsd:import namespace="http://schemas.microsoft.com/office/infopath/2007/PartnerControls"/>
    <xsd:element name="TaxCatchAll" ma:index="28" nillable="true" ma:displayName="Taxonomy Catch All Column" ma:hidden="true" ma:list="{6efbeaa3-1626-438d-9b80-460dc35c0bad}" ma:internalName="TaxCatchAll" ma:showField="CatchAllData" ma:web="f948943b-a79f-48a7-8dcc-3f0762b30d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Tipo de Conteúdo"/>
        <xsd:element ref="dc:title" minOccurs="0" maxOccurs="1" ma:index="1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4B9A83F-106A-4CB3-93DE-448BADF26D8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6C93027-D443-4BAB-8A18-E47769F868CB}">
  <ds:schemaRefs>
    <ds:schemaRef ds:uri="http://purl.org/dc/terms/"/>
    <ds:schemaRef ds:uri="f948943b-a79f-48a7-8dcc-3f0762b30daf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1afd5884-fe62-46d7-824f-9f059447c80d"/>
    <ds:schemaRef ds:uri="http://schemas.openxmlformats.org/package/2006/metadata/core-properties"/>
    <ds:schemaRef ds:uri="8eb683c7-4829-422d-8ca0-45c412a6bb6f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E13D38F-4BA9-4DCA-8683-71A2DD13D6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b683c7-4829-422d-8ca0-45c412a6bb6f"/>
    <ds:schemaRef ds:uri="f948943b-a79f-48a7-8dcc-3f0762b30daf"/>
    <ds:schemaRef ds:uri="1afd5884-fe62-46d7-824f-9f059447c8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2004f618-f07b-4cb1-b424-af87fa2c63ca}" enabled="1" method="Privileged" siteId="{3e29c0db-ca52-43d9-ac23-f993968242fc}" removed="0"/>
  <clbl:label id="{536b85ad-a448-4186-a9af-e3ccad3302c5}" enabled="0" method="" siteId="{536b85ad-a448-4186-a9af-e3ccad3302c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8</vt:i4>
      </vt:variant>
      <vt:variant>
        <vt:lpstr>Intervalos com Nome</vt:lpstr>
      </vt:variant>
      <vt:variant>
        <vt:i4>7</vt:i4>
      </vt:variant>
    </vt:vector>
  </HeadingPairs>
  <TitlesOfParts>
    <vt:vector size="15" baseType="lpstr">
      <vt:lpstr>00.Folha de rosto</vt:lpstr>
      <vt:lpstr>01.Categorias de Ativos</vt:lpstr>
      <vt:lpstr>02.Critérios de Valorização</vt:lpstr>
      <vt:lpstr>03.Inventário de Ativos</vt:lpstr>
      <vt:lpstr>04.Lista Riscos,Classificação</vt:lpstr>
      <vt:lpstr>05.Avaliação do Risco</vt:lpstr>
      <vt:lpstr>06.Plano de Mitigação</vt:lpstr>
      <vt:lpstr>Dados</vt:lpstr>
      <vt:lpstr>'00.Folha de rosto'!Área_de_Impressão</vt:lpstr>
      <vt:lpstr>'03.Inventário de Ativos'!Área_de_Impressão</vt:lpstr>
      <vt:lpstr>'03.Inventário de Ativos'!AssetIDs</vt:lpstr>
      <vt:lpstr>'03.Inventário de Ativos'!Backup</vt:lpstr>
      <vt:lpstr>'01.Categorias de Ativos'!Categoria</vt:lpstr>
      <vt:lpstr>'01.Categorias de Ativos'!lmh</vt:lpstr>
      <vt:lpstr>'03.Inventário de Ativos'!OS</vt:lpstr>
    </vt:vector>
  </TitlesOfParts>
  <Manager/>
  <Company>IPL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Gestão do Risco</dc:title>
  <dc:subject/>
  <dc:creator/>
  <cp:keywords/>
  <dc:description/>
  <cp:lastModifiedBy>Nuno Filipe Pereira Salvador</cp:lastModifiedBy>
  <cp:revision/>
  <dcterms:created xsi:type="dcterms:W3CDTF">2022-02-09T14:33:31Z</dcterms:created>
  <dcterms:modified xsi:type="dcterms:W3CDTF">2025-12-08T22:04:36Z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0x010100604C31E750985A4F8279FB701250C956</vt:lpwstr>
  </property>
  <property fmtid="{D5CDD505-2E9C-101B-9397-08002B2CF9AE}" pid="3" name="MediaServiceImageTags">
    <vt:lpwstr/>
  </property>
  <property fmtid="{D5CDD505-2E9C-101B-9397-08002B2CF9AE}" pid="4" name="MSIP_Label_68a0ed62-27c2-4340-9fb8-906b6a68433f_Enabled">
    <vt:lpwstr>true</vt:lpwstr>
  </property>
  <property fmtid="{D5CDD505-2E9C-101B-9397-08002B2CF9AE}" pid="5" name="MSIP_Label_68a0ed62-27c2-4340-9fb8-906b6a68433f_SetDate">
    <vt:lpwstr>2025-07-09T10:32:19Z</vt:lpwstr>
  </property>
  <property fmtid="{D5CDD505-2E9C-101B-9397-08002B2CF9AE}" pid="6" name="MSIP_Label_68a0ed62-27c2-4340-9fb8-906b6a68433f_Method">
    <vt:lpwstr>Standard</vt:lpwstr>
  </property>
  <property fmtid="{D5CDD505-2E9C-101B-9397-08002B2CF9AE}" pid="7" name="MSIP_Label_68a0ed62-27c2-4340-9fb8-906b6a68433f_Name">
    <vt:lpwstr>defa4170-0d19-0005-0004-bc88714345d2</vt:lpwstr>
  </property>
  <property fmtid="{D5CDD505-2E9C-101B-9397-08002B2CF9AE}" pid="8" name="MSIP_Label_68a0ed62-27c2-4340-9fb8-906b6a68433f_SiteId">
    <vt:lpwstr>df6c99e2-9ca1-42b1-b437-ff3795fbd0cc</vt:lpwstr>
  </property>
  <property fmtid="{D5CDD505-2E9C-101B-9397-08002B2CF9AE}" pid="9" name="MSIP_Label_68a0ed62-27c2-4340-9fb8-906b6a68433f_ActionId">
    <vt:lpwstr>0ddcfac0-c806-4faf-9f32-09946f12ff78</vt:lpwstr>
  </property>
  <property fmtid="{D5CDD505-2E9C-101B-9397-08002B2CF9AE}" pid="10" name="MSIP_Label_68a0ed62-27c2-4340-9fb8-906b6a68433f_ContentBits">
    <vt:lpwstr>0</vt:lpwstr>
  </property>
  <property fmtid="{D5CDD505-2E9C-101B-9397-08002B2CF9AE}" pid="11" name="MSIP_Label_68a0ed62-27c2-4340-9fb8-906b6a68433f_Tag">
    <vt:lpwstr>10, 3, 0, 2</vt:lpwstr>
  </property>
</Properties>
</file>